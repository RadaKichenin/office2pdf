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_개요" sheetId="1" state="visible" r:id="rId3"/>
    <sheet name="01_대시보드" sheetId="2" state="visible" r:id="rId4"/>
    <sheet name="02_기능_매트릭스" sheetId="3" state="visible" r:id="rId5"/>
    <sheet name="03_CLI_옵션" sheetId="4" state="visible" r:id="rId6"/>
    <sheet name="04_라이브러리_API" sheetId="5" state="visible" r:id="rId7"/>
    <sheet name="05_모듈_인벤토리" sheetId="6" state="visible" r:id="rId8"/>
    <sheet name="06_릴리스_이력" sheetId="7" state="visible" r:id="rId9"/>
    <sheet name="07_검증_품질게이트" sheetId="8" state="visible" r:id="rId10"/>
    <sheet name="08_의존성" sheetId="9" state="visible" r:id="rId11"/>
    <sheet name="09_리스크_로드맵" sheetId="10" state="visible" r:id="rId12"/>
  </sheets>
  <definedNames>
    <definedName function="false" hidden="false" localSheetId="2" name="_xlnm.Print_Titles" vbProcedure="false">02_기능_매트릭스!$4:$4</definedName>
    <definedName function="false" hidden="true" localSheetId="2" name="_xlnm._FilterDatabase" vbProcedure="false">02_기능_매트릭스!$A$4:$H$71</definedName>
    <definedName function="false" hidden="false" localSheetId="3" name="_xlnm.Print_Titles" vbProcedure="false">03_CLI_옵션!$4:$4</definedName>
    <definedName function="false" hidden="true" localSheetId="3" name="_xlnm._FilterDatabase" vbProcedure="false">03_CLI_옵션!$A$4:$I$23</definedName>
    <definedName function="false" hidden="false" localSheetId="5" name="_xlnm.Print_Titles" vbProcedure="false">05_모듈_인벤토리!$4:$4</definedName>
    <definedName function="false" hidden="false" localSheetId="6" name="_xlnm.Print_Titles" vbProcedure="false">06_릴리스_이력!$4:$4</definedName>
    <definedName function="false" hidden="true" localSheetId="6" name="_xlnm._FilterDatabase" vbProcedure="false">06_릴리스_이력!$A$4:$H$14</definedName>
    <definedName function="false" hidden="false" localSheetId="8" name="_xlnm.Print_Titles" vbProcedure="false">08_의존성!$4:$4</definedName>
    <definedName function="false" hidden="true" localSheetId="8" name="_xlnm._FilterDatabase" vbProcedure="false">08_의존성!$A$4:$H$30</definedName>
    <definedName function="false" hidden="false" name="기능항목_수" vbProcedure="false">02_기능_매트릭스!$D$74</definedName>
    <definedName function="false" hidden="false" name="단위테스트_총계" vbProcedure="false">01_대시보드!$C$10</definedName>
    <definedName function="false" hidden="false" name="총_LOC" vbProcedure="false">01_대시보드!$C$6</definedName>
    <definedName function="false" hidden="false" name="최신_배포_버전" vbProcedure="false">00_개요!$C$13</definedName>
    <definedName function="false" hidden="false" name="커밋_픽스처_합계" vbProcedure="false">07_검증_품질게이트!$D$21</definedName>
    <definedName function="false" hidden="false" name="테스트_LOC" vbProcedure="false">01_대시보드!$C$8</definedName>
    <definedName function="false" hidden="false" name="프로덕션_LOC" vbProcedure="false">01_대시보드!$C$7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8" authorId="0">
      <text>
        <r>
          <rPr>
            <sz val="10"/>
            <rFont val="Arial"/>
            <family val="2"/>
          </rPr>
          <t xml:space="preserve">GitHub </t>
        </r>
        <r>
          <rPr>
            <sz val="10"/>
            <rFont val="Noto Sans CJK SC"/>
            <family val="2"/>
          </rPr>
          <t xml:space="preserve">웹 페이지 조회 시점의 스냅샷 값이며 시간에 따라 변동합니다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Noto Sans CJK SC"/>
            <family val="2"/>
          </rPr>
          <t xml:space="preserve">수집</t>
        </r>
        <r>
          <rPr>
            <sz val="10"/>
            <rFont val="Arial"/>
            <family val="2"/>
          </rPr>
          <t xml:space="preserve">: 2026-07-27, </t>
        </r>
        <r>
          <rPr>
            <sz val="10"/>
            <rFont val="Noto Sans CJK SC"/>
            <family val="2"/>
          </rPr>
          <t xml:space="preserve">출처</t>
        </r>
        <r>
          <rPr>
            <sz val="10"/>
            <rFont val="Arial"/>
            <family val="2"/>
          </rPr>
          <t xml:space="preserve">: /developer0hye/office2pdf/releases </t>
        </r>
        <r>
          <rPr>
            <sz val="10"/>
            <rFont val="Noto Sans CJK SC"/>
            <family val="2"/>
          </rPr>
          <t xml:space="preserve">헤더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<sst xmlns="http://schemas.openxmlformats.org/spreadsheetml/2006/main" count="2291" uniqueCount="1142">
  <si>
    <r>
      <rPr>
        <b val="true"/>
        <sz val="15"/>
        <color rgb="FFFFFFFF"/>
        <rFont val="Arial"/>
        <family val="0"/>
        <charset val="1"/>
      </rPr>
      <t xml:space="preserve">office2pdf — </t>
    </r>
    <r>
      <rPr>
        <b val="true"/>
        <sz val="15"/>
        <color rgb="FFFFFFFF"/>
        <rFont val="Noto Sans CJK SC"/>
        <family val="2"/>
      </rPr>
      <t xml:space="preserve">리포지터리 정보 구조화 워크북</t>
    </r>
  </si>
  <si>
    <r>
      <rPr>
        <i val="true"/>
        <sz val="9"/>
        <color rgb="FF404040"/>
        <rFont val="Arial"/>
        <family val="0"/>
        <charset val="1"/>
      </rPr>
      <t xml:space="preserve">OOXML(DOCX/XLSX/PPTX) → PDF </t>
    </r>
    <r>
      <rPr>
        <i val="true"/>
        <sz val="9"/>
        <color rgb="FF404040"/>
        <rFont val="Noto Sans CJK SC"/>
        <family val="2"/>
      </rPr>
      <t xml:space="preserve">변환 </t>
    </r>
    <r>
      <rPr>
        <i val="true"/>
        <sz val="9"/>
        <color rgb="FF404040"/>
        <rFont val="Arial"/>
        <family val="0"/>
        <charset val="1"/>
      </rPr>
      <t xml:space="preserve">Pure-Rust </t>
    </r>
    <r>
      <rPr>
        <i val="true"/>
        <sz val="9"/>
        <color rgb="FF404040"/>
        <rFont val="Noto Sans CJK SC"/>
        <family val="2"/>
      </rPr>
      <t xml:space="preserve">라이브러리 </t>
    </r>
    <r>
      <rPr>
        <i val="true"/>
        <sz val="9"/>
        <color rgb="FF404040"/>
        <rFont val="Arial"/>
        <family val="0"/>
        <charset val="1"/>
      </rPr>
      <t xml:space="preserve">· </t>
    </r>
    <r>
      <rPr>
        <i val="true"/>
        <sz val="9"/>
        <color rgb="FF404040"/>
        <rFont val="Noto Sans CJK SC"/>
        <family val="2"/>
      </rPr>
      <t xml:space="preserve">데이터 수집 기준일 </t>
    </r>
    <r>
      <rPr>
        <i val="true"/>
        <sz val="9"/>
        <color rgb="FF404040"/>
        <rFont val="Arial"/>
        <family val="0"/>
        <charset val="1"/>
      </rPr>
      <t xml:space="preserve">2026-07-27 (main </t>
    </r>
    <r>
      <rPr>
        <i val="true"/>
        <sz val="9"/>
        <color rgb="FF404040"/>
        <rFont val="Noto Sans CJK SC"/>
        <family val="2"/>
      </rPr>
      <t xml:space="preserve">브랜치 얕은 클론 </t>
    </r>
    <r>
      <rPr>
        <i val="true"/>
        <sz val="9"/>
        <color rgb="FF404040"/>
        <rFont val="Arial"/>
        <family val="0"/>
        <charset val="1"/>
      </rPr>
      <t xml:space="preserve">+ GitHub </t>
    </r>
    <r>
      <rPr>
        <i val="true"/>
        <sz val="9"/>
        <color rgb="FF404040"/>
        <rFont val="Noto Sans CJK SC"/>
        <family val="2"/>
      </rPr>
      <t xml:space="preserve">릴리스 페이지</t>
    </r>
    <r>
      <rPr>
        <i val="true"/>
        <sz val="9"/>
        <color rgb="FF404040"/>
        <rFont val="Arial"/>
        <family val="0"/>
        <charset val="1"/>
      </rPr>
      <t xml:space="preserve">)</t>
    </r>
  </si>
  <si>
    <r>
      <rPr>
        <b val="true"/>
        <sz val="11"/>
        <color rgb="FF1F3864"/>
        <rFont val="Arial"/>
        <family val="0"/>
        <charset val="1"/>
      </rPr>
      <t xml:space="preserve">1. </t>
    </r>
    <r>
      <rPr>
        <b val="true"/>
        <sz val="11"/>
        <color rgb="FF1F3864"/>
        <rFont val="Noto Sans CJK SC"/>
        <family val="2"/>
      </rPr>
      <t xml:space="preserve">프로젝트 식별 정보</t>
    </r>
  </si>
  <si>
    <t xml:space="preserve">항목</t>
  </si>
  <si>
    <t xml:space="preserve">값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</si>
  <si>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비고</t>
    </r>
  </si>
  <si>
    <t xml:space="preserve">리포지터리</t>
  </si>
  <si>
    <t xml:space="preserve">developer0hye/office2pdf</t>
  </si>
  <si>
    <r>
      <rPr>
        <sz val="9"/>
        <color rgb="FF595959"/>
        <rFont val="Arial"/>
        <family val="0"/>
        <charset val="1"/>
      </rPr>
      <t xml:space="preserve">GitHub </t>
    </r>
    <r>
      <rPr>
        <sz val="9"/>
        <color rgb="FF595959"/>
        <rFont val="Noto Sans CJK SC"/>
        <family val="2"/>
      </rPr>
      <t xml:space="preserve">공개 리포지터리</t>
    </r>
  </si>
  <si>
    <t xml:space="preserve">한 줄 정의</t>
  </si>
  <si>
    <r>
      <rPr>
        <sz val="10"/>
        <color rgb="FF0000FF"/>
        <rFont val="Arial"/>
        <family val="0"/>
        <charset val="1"/>
      </rPr>
      <t xml:space="preserve">LibreOffice·Chromium·Docker </t>
    </r>
    <r>
      <rPr>
        <sz val="10"/>
        <color rgb="FF0000FF"/>
        <rFont val="Noto Sans CJK SC"/>
        <family val="2"/>
      </rPr>
      <t xml:space="preserve">비의존 단일 바이너리 </t>
    </r>
    <r>
      <rPr>
        <sz val="10"/>
        <color rgb="FF0000FF"/>
        <rFont val="Arial"/>
        <family val="0"/>
        <charset val="1"/>
      </rPr>
      <t xml:space="preserve">OOXML→PDF </t>
    </r>
    <r>
      <rPr>
        <sz val="10"/>
        <color rgb="FF0000FF"/>
        <rFont val="Noto Sans CJK SC"/>
        <family val="2"/>
      </rPr>
      <t xml:space="preserve">변환기</t>
    </r>
  </si>
  <si>
    <r>
      <rPr>
        <sz val="9"/>
        <color rgb="FF595959"/>
        <rFont val="Arial"/>
        <family val="0"/>
        <charset val="1"/>
      </rPr>
      <t xml:space="preserve">README </t>
    </r>
    <r>
      <rPr>
        <sz val="9"/>
        <color rgb="FF595959"/>
        <rFont val="Noto Sans CJK SC"/>
        <family val="2"/>
      </rPr>
      <t xml:space="preserve">서두</t>
    </r>
  </si>
  <si>
    <t xml:space="preserve">메인테이너</t>
  </si>
  <si>
    <t xml:space="preserve">Yonghye Kwon (developer0hye)</t>
  </si>
  <si>
    <r>
      <rPr>
        <sz val="9"/>
        <color rgb="FF595959"/>
        <rFont val="Noto Sans CJK SC"/>
        <family val="2"/>
      </rPr>
      <t xml:space="preserve">릴리스 노트 </t>
    </r>
    <r>
      <rPr>
        <sz val="9"/>
        <color rgb="FF595959"/>
        <rFont val="Arial"/>
        <family val="0"/>
        <charset val="1"/>
      </rPr>
      <t xml:space="preserve">Contributors</t>
    </r>
  </si>
  <si>
    <t xml:space="preserve">라이선스</t>
  </si>
  <si>
    <t xml:space="preserve">Apache License 2.0</t>
  </si>
  <si>
    <r>
      <rPr>
        <sz val="9"/>
        <color rgb="FF595959"/>
        <rFont val="Arial"/>
        <family val="0"/>
        <charset val="1"/>
      </rPr>
      <t xml:space="preserve">LICENSE / Cargo </t>
    </r>
    <r>
      <rPr>
        <sz val="9"/>
        <color rgb="FF595959"/>
        <rFont val="Noto Sans CJK SC"/>
        <family val="2"/>
      </rPr>
      <t xml:space="preserve">워크스페이스 메타데이터</t>
    </r>
  </si>
  <si>
    <t xml:space="preserve">언어 구성</t>
  </si>
  <si>
    <r>
      <rPr>
        <sz val="10"/>
        <color rgb="FF0000FF"/>
        <rFont val="Arial"/>
        <family val="0"/>
        <charset val="1"/>
      </rPr>
      <t xml:space="preserve">Rust 99.5% / </t>
    </r>
    <r>
      <rPr>
        <sz val="10"/>
        <color rgb="FF0000FF"/>
        <rFont val="Noto Sans CJK SC"/>
        <family val="2"/>
      </rPr>
      <t xml:space="preserve">기타 </t>
    </r>
    <r>
      <rPr>
        <sz val="10"/>
        <color rgb="FF0000FF"/>
        <rFont val="Arial"/>
        <family val="0"/>
        <charset val="1"/>
      </rPr>
      <t xml:space="preserve">0.5%</t>
    </r>
  </si>
  <si>
    <t xml:space="preserve">GitHub Languages</t>
  </si>
  <si>
    <r>
      <rPr>
        <b val="true"/>
        <sz val="10"/>
        <rFont val="Arial"/>
        <family val="0"/>
        <charset val="1"/>
      </rPr>
      <t xml:space="preserve">Rust </t>
    </r>
    <r>
      <rPr>
        <b val="true"/>
        <sz val="10"/>
        <rFont val="Noto Sans CJK SC"/>
        <family val="2"/>
      </rPr>
      <t xml:space="preserve">툴체인 요건</t>
    </r>
  </si>
  <si>
    <t xml:space="preserve">edition 2024 / rust-version 1.89 / resolver 3</t>
  </si>
  <si>
    <r>
      <rPr>
        <sz val="9"/>
        <color rgb="FF595959"/>
        <rFont val="Noto Sans CJK SC"/>
        <family val="2"/>
      </rPr>
      <t xml:space="preserve">루트 </t>
    </r>
    <r>
      <rPr>
        <sz val="9"/>
        <color rgb="FF595959"/>
        <rFont val="Arial"/>
        <family val="0"/>
        <charset val="1"/>
      </rPr>
      <t xml:space="preserve">Cargo.toml [workspace.package]</t>
    </r>
  </si>
  <si>
    <t xml:space="preserve">워크스페이스 멤버</t>
  </si>
  <si>
    <t xml:space="preserve">crates/office2pdf (lib), crates/office2pdf-cli (bin: office2pdf)</t>
  </si>
  <si>
    <r>
      <rPr>
        <sz val="9"/>
        <color rgb="FF595959"/>
        <rFont val="Noto Sans CJK SC"/>
        <family val="2"/>
      </rPr>
      <t xml:space="preserve">루트 </t>
    </r>
    <r>
      <rPr>
        <sz val="9"/>
        <color rgb="FF595959"/>
        <rFont val="Arial"/>
        <family val="0"/>
        <charset val="1"/>
      </rPr>
      <t xml:space="preserve">Cargo.toml [workspace].members</t>
    </r>
  </si>
  <si>
    <t xml:space="preserve">최신 배포 버전</t>
  </si>
  <si>
    <t xml:space="preserve">v0.6.4</t>
  </si>
  <si>
    <r>
      <rPr>
        <sz val="9"/>
        <color rgb="FF595959"/>
        <rFont val="Arial"/>
        <family val="0"/>
        <charset val="1"/>
      </rPr>
      <t xml:space="preserve">GitHub Releases (2026-07-23, github-actions </t>
    </r>
    <r>
      <rPr>
        <sz val="9"/>
        <color rgb="FF595959"/>
        <rFont val="Noto Sans CJK SC"/>
        <family val="2"/>
      </rPr>
      <t xml:space="preserve">자동 배포</t>
    </r>
    <r>
      <rPr>
        <sz val="9"/>
        <color rgb="FF595959"/>
        <rFont val="Arial"/>
        <family val="0"/>
        <charset val="1"/>
      </rPr>
      <t xml:space="preserve">)</t>
    </r>
  </si>
  <si>
    <t xml:space="preserve">배포 태그 총계</t>
  </si>
  <si>
    <r>
      <rPr>
        <sz val="10"/>
        <color rgb="FF0000FF"/>
        <rFont val="Noto Sans CJK SC"/>
        <family val="2"/>
      </rPr>
      <t xml:space="preserve">정식 릴리스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건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픽스처 배포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Arial"/>
        <family val="0"/>
        <charset val="1"/>
      </rPr>
      <t xml:space="preserve">(fixtures-v1)</t>
    </r>
  </si>
  <si>
    <t xml:space="preserve">git ls-remote --tags</t>
  </si>
  <si>
    <r>
      <rPr>
        <b val="true"/>
        <sz val="10"/>
        <rFont val="Noto Sans CJK SC"/>
        <family val="2"/>
      </rPr>
      <t xml:space="preserve">레이아웃</t>
    </r>
    <r>
      <rPr>
        <b val="true"/>
        <sz val="10"/>
        <rFont val="Arial"/>
        <family val="0"/>
        <charset val="1"/>
      </rPr>
      <t xml:space="preserve">/PDF </t>
    </r>
    <r>
      <rPr>
        <b val="true"/>
        <sz val="10"/>
        <rFont val="Noto Sans CJK SC"/>
        <family val="2"/>
      </rPr>
      <t xml:space="preserve">백엔드</t>
    </r>
  </si>
  <si>
    <t xml:space="preserve">Typst 0.14 (typst, typst-pdf, typst-kit)</t>
  </si>
  <si>
    <t xml:space="preserve">crates/office2pdf/Cargo.toml</t>
  </si>
  <si>
    <t xml:space="preserve">파서 스택</t>
  </si>
  <si>
    <r>
      <rPr>
        <sz val="10"/>
        <color rgb="FF0000FF"/>
        <rFont val="Arial"/>
        <family val="0"/>
        <charset val="1"/>
      </rPr>
      <t xml:space="preserve">docx-rs 0.4, umya-spreadsheet 2, quick-xml 0.38 </t>
    </r>
    <r>
      <rPr>
        <sz val="10"/>
        <color rgb="FF0000FF"/>
        <rFont val="Noto Sans CJK SC"/>
        <family val="2"/>
      </rPr>
      <t xml:space="preserve">기반 자체 </t>
    </r>
    <r>
      <rPr>
        <sz val="10"/>
        <color rgb="FF0000FF"/>
        <rFont val="Arial"/>
        <family val="0"/>
        <charset val="1"/>
      </rPr>
      <t xml:space="preserve">OOXML </t>
    </r>
    <r>
      <rPr>
        <sz val="10"/>
        <color rgb="FF0000FF"/>
        <rFont val="Noto Sans CJK SC"/>
        <family val="2"/>
      </rPr>
      <t xml:space="preserve">파서</t>
    </r>
  </si>
  <si>
    <r>
      <rPr>
        <sz val="9"/>
        <color rgb="FF595959"/>
        <rFont val="Noto Sans CJK SC"/>
        <family val="2"/>
      </rPr>
      <t xml:space="preserve">동일 매니페스트 </t>
    </r>
    <r>
      <rPr>
        <sz val="9"/>
        <color rgb="FF595959"/>
        <rFont val="Arial"/>
        <family val="0"/>
        <charset val="1"/>
      </rPr>
      <t xml:space="preserve">+ [patch.crates-io]</t>
    </r>
  </si>
  <si>
    <t xml:space="preserve">배포 아티팩트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</si>
  <si>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개 타깃 프리빌트 </t>
    </r>
    <r>
      <rPr>
        <sz val="10"/>
        <color rgb="FF0000FF"/>
        <rFont val="Arial"/>
        <family val="0"/>
        <charset val="1"/>
      </rPr>
      <t xml:space="preserve">CLI </t>
    </r>
    <r>
      <rPr>
        <sz val="10"/>
        <color rgb="FF0000FF"/>
        <rFont val="Noto Sans CJK SC"/>
        <family val="2"/>
      </rPr>
      <t xml:space="preserve">아카이브 </t>
    </r>
    <r>
      <rPr>
        <sz val="10"/>
        <color rgb="FF0000FF"/>
        <rFont val="Arial"/>
        <family val="0"/>
        <charset val="1"/>
      </rPr>
      <t xml:space="preserve">+ crates.io 2</t>
    </r>
    <r>
      <rPr>
        <sz val="10"/>
        <color rgb="FF0000FF"/>
        <rFont val="Noto Sans CJK SC"/>
        <family val="2"/>
      </rPr>
      <t xml:space="preserve">개 크레이트</t>
    </r>
  </si>
  <si>
    <r>
      <rPr>
        <sz val="9"/>
        <color rgb="FF595959"/>
        <rFont val="Arial"/>
        <family val="0"/>
        <charset val="1"/>
      </rPr>
      <t xml:space="preserve">README </t>
    </r>
    <r>
      <rPr>
        <sz val="9"/>
        <color rgb="FF595959"/>
        <rFont val="Noto Sans CJK SC"/>
        <family val="2"/>
      </rPr>
      <t xml:space="preserve">프리빌트 바이너리 표</t>
    </r>
  </si>
  <si>
    <t xml:space="preserve">Star / Fork</t>
  </si>
  <si>
    <t xml:space="preserve">83 / 9</t>
  </si>
  <si>
    <r>
      <rPr>
        <sz val="9"/>
        <color rgb="FF595959"/>
        <rFont val="Arial"/>
        <family val="0"/>
        <charset val="1"/>
      </rPr>
      <t xml:space="preserve">GitHub </t>
    </r>
    <r>
      <rPr>
        <sz val="9"/>
        <color rgb="FF595959"/>
        <rFont val="Noto Sans CJK SC"/>
        <family val="2"/>
      </rPr>
      <t xml:space="preserve">릴리스 페이지 헤더</t>
    </r>
    <r>
      <rPr>
        <sz val="9"/>
        <color rgb="FF595959"/>
        <rFont val="Arial"/>
        <family val="0"/>
        <charset val="1"/>
      </rPr>
      <t xml:space="preserve">(2026-07-27 </t>
    </r>
    <r>
      <rPr>
        <sz val="9"/>
        <color rgb="FF595959"/>
        <rFont val="Noto Sans CJK SC"/>
        <family val="2"/>
      </rPr>
      <t xml:space="preserve">조회 스냅샷</t>
    </r>
    <r>
      <rPr>
        <sz val="9"/>
        <color rgb="FF595959"/>
        <rFont val="Arial"/>
        <family val="0"/>
        <charset val="1"/>
      </rPr>
      <t xml:space="preserve">)</t>
    </r>
  </si>
  <si>
    <t xml:space="preserve">리포지터리 문서 자산</t>
  </si>
  <si>
    <t xml:space="preserve">README, PRD, METHODOLOGY, AGENTS, CLAUDE, RELEASING, PPTX_FONT_RESOLUTION</t>
  </si>
  <si>
    <r>
      <rPr>
        <sz val="9"/>
        <color rgb="FF595959"/>
        <rFont val="Noto Sans CJK SC"/>
        <family val="2"/>
      </rPr>
      <t xml:space="preserve">루트 </t>
    </r>
    <r>
      <rPr>
        <sz val="9"/>
        <color rgb="FF595959"/>
        <rFont val="Arial"/>
        <family val="0"/>
        <charset val="1"/>
      </rPr>
      <t xml:space="preserve">*.md 7</t>
    </r>
    <r>
      <rPr>
        <sz val="9"/>
        <color rgb="FF595959"/>
        <rFont val="Noto Sans CJK SC"/>
        <family val="2"/>
      </rPr>
      <t xml:space="preserve">종</t>
    </r>
  </si>
  <si>
    <t xml:space="preserve">외부 참조 조사 자료</t>
  </si>
  <si>
    <r>
      <rPr>
        <sz val="10"/>
        <color rgb="FF0000FF"/>
        <rFont val="Arial"/>
        <family val="0"/>
        <charset val="1"/>
      </rPr>
      <t xml:space="preserve">references/ </t>
    </r>
    <r>
      <rPr>
        <sz val="10"/>
        <color rgb="FF0000FF"/>
        <rFont val="Noto Sans CJK SC"/>
        <family val="2"/>
      </rPr>
      <t xml:space="preserve">하위 벤치마크 조사 문서 </t>
    </r>
    <r>
      <rPr>
        <sz val="10"/>
        <color rgb="FF0000FF"/>
        <rFont val="Arial"/>
        <family val="0"/>
        <charset val="1"/>
      </rPr>
      <t xml:space="preserve">21</t>
    </r>
    <r>
      <rPr>
        <sz val="10"/>
        <color rgb="FF0000FF"/>
        <rFont val="Noto Sans CJK SC"/>
        <family val="2"/>
      </rPr>
      <t xml:space="preserve">종</t>
    </r>
    <r>
      <rPr>
        <sz val="10"/>
        <color rgb="FF0000FF"/>
        <rFont val="Arial"/>
        <family val="0"/>
        <charset val="1"/>
      </rPr>
      <t xml:space="preserve">(INDEX.md </t>
    </r>
    <r>
      <rPr>
        <sz val="10"/>
        <color rgb="FF0000FF"/>
        <rFont val="Noto Sans CJK SC"/>
        <family val="2"/>
      </rPr>
      <t xml:space="preserve">포함</t>
    </r>
    <r>
      <rPr>
        <sz val="10"/>
        <color rgb="FF0000FF"/>
        <rFont val="Arial"/>
        <family val="0"/>
        <charset val="1"/>
      </rPr>
      <t xml:space="preserve">)</t>
    </r>
  </si>
  <si>
    <t xml:space="preserve">references/</t>
  </si>
  <si>
    <r>
      <rPr>
        <b val="true"/>
        <sz val="11"/>
        <color rgb="FF1F3864"/>
        <rFont val="Arial"/>
        <family val="0"/>
        <charset val="1"/>
      </rPr>
      <t xml:space="preserve">2. </t>
    </r>
    <r>
      <rPr>
        <b val="true"/>
        <sz val="11"/>
        <color rgb="FF1F3864"/>
        <rFont val="Noto Sans CJK SC"/>
        <family val="2"/>
      </rPr>
      <t xml:space="preserve">외부 링크</t>
    </r>
  </si>
  <si>
    <r>
      <rPr>
        <b val="true"/>
        <sz val="10"/>
        <rFont val="Arial"/>
        <family val="0"/>
        <charset val="1"/>
      </rPr>
      <t xml:space="preserve">crates.io (</t>
    </r>
    <r>
      <rPr>
        <b val="true"/>
        <sz val="10"/>
        <rFont val="Noto Sans CJK SC"/>
        <family val="2"/>
      </rPr>
      <t xml:space="preserve">라이브러리</t>
    </r>
    <r>
      <rPr>
        <b val="true"/>
        <sz val="10"/>
        <rFont val="Arial"/>
        <family val="0"/>
        <charset val="1"/>
      </rPr>
      <t xml:space="preserve">)</t>
    </r>
  </si>
  <si>
    <t xml:space="preserve">https://crates.io/crates/office2pdf</t>
  </si>
  <si>
    <r>
      <rPr>
        <b val="true"/>
        <sz val="10"/>
        <rFont val="Arial"/>
        <family val="0"/>
        <charset val="1"/>
      </rPr>
      <t xml:space="preserve">docs.rs (API </t>
    </r>
    <r>
      <rPr>
        <b val="true"/>
        <sz val="10"/>
        <rFont val="Noto Sans CJK SC"/>
        <family val="2"/>
      </rPr>
      <t xml:space="preserve">문서</t>
    </r>
    <r>
      <rPr>
        <b val="true"/>
        <sz val="10"/>
        <rFont val="Arial"/>
        <family val="0"/>
        <charset val="1"/>
      </rPr>
      <t xml:space="preserve">)</t>
    </r>
  </si>
  <si>
    <t xml:space="preserve">https://docs.rs/office2pdf</t>
  </si>
  <si>
    <t xml:space="preserve">GitHub Releases</t>
  </si>
  <si>
    <t xml:space="preserve">https://github.com/developer0hye/office2pdf/releases</t>
  </si>
  <si>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워크플로 </t>
    </r>
    <r>
      <rPr>
        <b val="true"/>
        <sz val="10"/>
        <rFont val="Arial"/>
        <family val="0"/>
        <charset val="1"/>
      </rPr>
      <t xml:space="preserve">(Actions)</t>
    </r>
  </si>
  <si>
    <t xml:space="preserve">https://github.com/developer0hye/office2pdf/actions/workflows/ci.yml</t>
  </si>
  <si>
    <r>
      <rPr>
        <b val="true"/>
        <sz val="10"/>
        <rFont val="Arial"/>
        <family val="0"/>
        <charset val="1"/>
      </rPr>
      <t xml:space="preserve">Typst (</t>
    </r>
    <r>
      <rPr>
        <b val="true"/>
        <sz val="10"/>
        <rFont val="Noto Sans CJK SC"/>
        <family val="2"/>
      </rPr>
      <t xml:space="preserve">렌더링 백엔드</t>
    </r>
    <r>
      <rPr>
        <b val="true"/>
        <sz val="10"/>
        <rFont val="Arial"/>
        <family val="0"/>
        <charset val="1"/>
      </rPr>
      <t xml:space="preserve">)</t>
    </r>
  </si>
  <si>
    <t xml:space="preserve">https://github.com/typst/typst</t>
  </si>
  <si>
    <r>
      <rPr>
        <b val="true"/>
        <sz val="11"/>
        <color rgb="FF1F3864"/>
        <rFont val="Arial"/>
        <family val="0"/>
        <charset val="1"/>
      </rPr>
      <t xml:space="preserve">3. </t>
    </r>
    <r>
      <rPr>
        <b val="true"/>
        <sz val="11"/>
        <color rgb="FF1F3864"/>
        <rFont val="Noto Sans CJK SC"/>
        <family val="2"/>
      </rPr>
      <t xml:space="preserve">시트 구성 안내 </t>
    </r>
    <r>
      <rPr>
        <b val="true"/>
        <sz val="11"/>
        <color rgb="FF1F3864"/>
        <rFont val="Arial"/>
        <family val="0"/>
        <charset val="1"/>
      </rPr>
      <t xml:space="preserve">(Legend)</t>
    </r>
  </si>
  <si>
    <r>
      <rPr>
        <b val="true"/>
        <sz val="10"/>
        <color rgb="FF1F3864"/>
        <rFont val="Arial"/>
        <family val="0"/>
        <charset val="1"/>
      </rPr>
      <t xml:space="preserve">01_</t>
    </r>
    <r>
      <rPr>
        <b val="true"/>
        <sz val="10"/>
        <color rgb="FF1F3864"/>
        <rFont val="Noto Sans CJK SC"/>
        <family val="2"/>
      </rPr>
      <t xml:space="preserve">대시보드</t>
    </r>
  </si>
  <si>
    <r>
      <rPr>
        <sz val="9"/>
        <rFont val="Noto Sans CJK SC"/>
        <family val="2"/>
      </rPr>
      <t xml:space="preserve">핵심 지표</t>
    </r>
    <r>
      <rPr>
        <sz val="9"/>
        <rFont val="Arial"/>
        <family val="0"/>
        <charset val="1"/>
      </rPr>
      <t xml:space="preserve">(KPI) </t>
    </r>
    <r>
      <rPr>
        <sz val="9"/>
        <rFont val="Noto Sans CJK SC"/>
        <family val="2"/>
      </rPr>
      <t xml:space="preserve">및 계층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포맷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릴리스 차트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모든 수치는 타 시트 참조 수식</t>
    </r>
    <r>
      <rPr>
        <sz val="9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</si>
  <si>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02_</t>
    </r>
    <r>
      <rPr>
        <b val="true"/>
        <sz val="10"/>
        <color rgb="FF1F3864"/>
        <rFont val="Noto Sans CJK SC"/>
        <family val="2"/>
      </rPr>
      <t xml:space="preserve">기능</t>
    </r>
    <r>
      <rPr>
        <b val="true"/>
        <sz val="10"/>
        <color rgb="FF1F3864"/>
        <rFont val="Arial"/>
        <family val="0"/>
        <charset val="1"/>
      </rPr>
      <t xml:space="preserve">_</t>
    </r>
    <r>
      <rPr>
        <b val="true"/>
        <sz val="10"/>
        <color rgb="FF1F3864"/>
        <rFont val="Noto Sans CJK SC"/>
        <family val="2"/>
      </rPr>
      <t xml:space="preserve">매트릭스</t>
    </r>
  </si>
  <si>
    <r>
      <rPr>
        <sz val="9"/>
        <rFont val="Noto Sans CJK SC"/>
        <family val="2"/>
      </rPr>
      <t xml:space="preserve">포맷별 지원 기능 </t>
    </r>
    <r>
      <rPr>
        <sz val="9"/>
        <rFont val="Arial"/>
        <family val="0"/>
        <charset val="1"/>
      </rPr>
      <t xml:space="preserve">× </t>
    </r>
    <r>
      <rPr>
        <sz val="9"/>
        <rFont val="Noto Sans CJK SC"/>
        <family val="2"/>
      </rPr>
      <t xml:space="preserve">구현 상태 </t>
    </r>
    <r>
      <rPr>
        <sz val="9"/>
        <rFont val="Arial"/>
        <family val="0"/>
        <charset val="1"/>
      </rPr>
      <t xml:space="preserve">× PRD </t>
    </r>
    <r>
      <rPr>
        <sz val="9"/>
        <rFont val="Noto Sans CJK SC"/>
        <family val="2"/>
      </rPr>
      <t xml:space="preserve">우선순위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자동 필터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데이터 유효성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아이콘 세트</t>
    </r>
    <r>
      <rPr>
        <sz val="9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</si>
  <si>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03_CLI_</t>
    </r>
    <r>
      <rPr>
        <b val="true"/>
        <sz val="10"/>
        <color rgb="FF1F3864"/>
        <rFont val="Noto Sans CJK SC"/>
        <family val="2"/>
      </rPr>
      <t xml:space="preserve">옵션</t>
    </r>
  </si>
  <si>
    <r>
      <rPr>
        <sz val="9"/>
        <rFont val="Arial"/>
        <family val="0"/>
        <charset val="1"/>
      </rPr>
      <t xml:space="preserve">CLI </t>
    </r>
    <r>
      <rPr>
        <sz val="9"/>
        <rFont val="Noto Sans CJK SC"/>
        <family val="2"/>
      </rPr>
      <t xml:space="preserve">전역 플래그 및 서브커맨드</t>
    </r>
    <r>
      <rPr>
        <sz val="9"/>
        <rFont val="Arial"/>
        <family val="0"/>
        <charset val="1"/>
      </rPr>
      <t xml:space="preserve">. README </t>
    </r>
    <r>
      <rPr>
        <sz val="9"/>
        <rFont val="Noto Sans CJK SC"/>
        <family val="2"/>
      </rPr>
      <t xml:space="preserve">문서화 여부 대조</t>
    </r>
    <r>
      <rPr>
        <sz val="9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</si>
  <si>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04_</t>
    </r>
    <r>
      <rPr>
        <b val="true"/>
        <sz val="10"/>
        <color rgb="FF1F3864"/>
        <rFont val="Noto Sans CJK SC"/>
        <family val="2"/>
      </rPr>
      <t xml:space="preserve">라이브러리</t>
    </r>
    <r>
      <rPr>
        <b val="true"/>
        <sz val="10"/>
        <color rgb="FF1F3864"/>
        <rFont val="Arial"/>
        <family val="0"/>
        <charset val="1"/>
      </rPr>
      <t xml:space="preserve">_API</t>
    </r>
  </si>
  <si>
    <r>
      <rPr>
        <sz val="9"/>
        <rFont val="Noto Sans CJK SC"/>
        <family val="2"/>
      </rPr>
      <t xml:space="preserve">공개 함수</t>
    </r>
    <r>
      <rPr>
        <sz val="9"/>
        <rFont val="Arial"/>
        <family val="0"/>
        <charset val="1"/>
      </rPr>
      <t xml:space="preserve">, ConvertOptions </t>
    </r>
    <r>
      <rPr>
        <sz val="9"/>
        <rFont val="Noto Sans CJK SC"/>
        <family val="2"/>
      </rPr>
      <t xml:space="preserve">필드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열거형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오류 변형</t>
    </r>
    <r>
      <rPr>
        <sz val="9"/>
        <rFont val="Arial"/>
        <family val="0"/>
        <charset val="1"/>
      </rPr>
      <t xml:space="preserve">, Cargo </t>
    </r>
    <r>
      <rPr>
        <sz val="9"/>
        <rFont val="Noto Sans CJK SC"/>
        <family val="2"/>
      </rPr>
      <t xml:space="preserve">피처</t>
    </r>
    <r>
      <rPr>
        <sz val="9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</si>
  <si>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05_</t>
    </r>
    <r>
      <rPr>
        <b val="true"/>
        <sz val="10"/>
        <color rgb="FF1F3864"/>
        <rFont val="Noto Sans CJK SC"/>
        <family val="2"/>
      </rPr>
      <t xml:space="preserve">모듈</t>
    </r>
    <r>
      <rPr>
        <b val="true"/>
        <sz val="10"/>
        <color rgb="FF1F3864"/>
        <rFont val="Arial"/>
        <family val="0"/>
        <charset val="1"/>
      </rPr>
      <t xml:space="preserve">_</t>
    </r>
    <r>
      <rPr>
        <b val="true"/>
        <sz val="10"/>
        <color rgb="FF1F3864"/>
        <rFont val="Noto Sans CJK SC"/>
        <family val="2"/>
      </rPr>
      <t xml:space="preserve">인벤토리</t>
    </r>
  </si>
  <si>
    <r>
      <rPr>
        <sz val="9"/>
        <rFont val="Noto Sans CJK SC"/>
        <family val="2"/>
      </rPr>
      <t xml:space="preserve">소스 파일 </t>
    </r>
    <r>
      <rPr>
        <sz val="9"/>
        <rFont val="Arial"/>
        <family val="0"/>
        <charset val="1"/>
      </rPr>
      <t xml:space="preserve">171</t>
    </r>
    <r>
      <rPr>
        <sz val="9"/>
        <rFont val="Noto Sans CJK SC"/>
        <family val="2"/>
      </rPr>
      <t xml:space="preserve">개의 계층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대상 포맷</t>
    </r>
    <r>
      <rPr>
        <sz val="9"/>
        <rFont val="Arial"/>
        <family val="0"/>
        <charset val="1"/>
      </rPr>
      <t xml:space="preserve">·LOC·</t>
    </r>
    <r>
      <rPr>
        <sz val="9"/>
        <rFont val="Noto Sans CJK SC"/>
        <family val="2"/>
      </rPr>
      <t xml:space="preserve">테스트 수</t>
    </r>
    <r>
      <rPr>
        <sz val="9"/>
        <rFont val="Arial"/>
        <family val="0"/>
        <charset val="1"/>
      </rPr>
      <t xml:space="preserve">. </t>
    </r>
    <r>
      <rPr>
        <sz val="9"/>
        <rFont val="Noto Sans CJK SC"/>
        <family val="2"/>
      </rPr>
      <t xml:space="preserve">정렬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필터용 표 객체</t>
    </r>
    <r>
      <rPr>
        <sz val="9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</si>
  <si>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06_</t>
    </r>
    <r>
      <rPr>
        <b val="true"/>
        <sz val="10"/>
        <color rgb="FF1F3864"/>
        <rFont val="Noto Sans CJK SC"/>
        <family val="2"/>
      </rPr>
      <t xml:space="preserve">릴리스</t>
    </r>
    <r>
      <rPr>
        <b val="true"/>
        <sz val="10"/>
        <color rgb="FF1F3864"/>
        <rFont val="Arial"/>
        <family val="0"/>
        <charset val="1"/>
      </rPr>
      <t xml:space="preserve">_</t>
    </r>
    <r>
      <rPr>
        <b val="true"/>
        <sz val="10"/>
        <color rgb="FF1F3864"/>
        <rFont val="Noto Sans CJK SC"/>
        <family val="2"/>
      </rPr>
      <t xml:space="preserve">이력</t>
    </r>
  </si>
  <si>
    <r>
      <rPr>
        <sz val="9"/>
        <rFont val="Noto Sans CJK SC"/>
        <family val="2"/>
      </rPr>
      <t xml:space="preserve">태그별 릴리스일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핵심 변경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릴리스 간격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수식</t>
    </r>
    <r>
      <rPr>
        <sz val="9"/>
        <rFont val="Arial"/>
        <family val="0"/>
        <charset val="1"/>
      </rPr>
      <t xml:space="preserve">).</t>
    </r>
  </si>
  <si>
    <r>
      <rPr>
        <b val="true"/>
        <sz val="10"/>
        <color rgb="FF1F3864"/>
        <rFont val="Arial"/>
        <family val="0"/>
        <charset val="1"/>
      </rPr>
      <t xml:space="preserve">07_</t>
    </r>
    <r>
      <rPr>
        <b val="true"/>
        <sz val="10"/>
        <color rgb="FF1F3864"/>
        <rFont val="Noto Sans CJK SC"/>
        <family val="2"/>
      </rPr>
      <t xml:space="preserve">검증</t>
    </r>
    <r>
      <rPr>
        <b val="true"/>
        <sz val="10"/>
        <color rgb="FF1F3864"/>
        <rFont val="Arial"/>
        <family val="0"/>
        <charset val="1"/>
      </rPr>
      <t xml:space="preserve">_</t>
    </r>
    <r>
      <rPr>
        <b val="true"/>
        <sz val="10"/>
        <color rgb="FF1F3864"/>
        <rFont val="Noto Sans CJK SC"/>
        <family val="2"/>
      </rPr>
      <t xml:space="preserve">품질게이트</t>
    </r>
  </si>
  <si>
    <r>
      <rPr>
        <sz val="9"/>
        <rFont val="Arial"/>
        <family val="0"/>
        <charset val="1"/>
      </rPr>
      <t xml:space="preserve">CI </t>
    </r>
    <r>
      <rPr>
        <sz val="9"/>
        <rFont val="Noto Sans CJK SC"/>
        <family val="2"/>
      </rPr>
      <t xml:space="preserve">잡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픽스처 코퍼스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회귀 증적 정책</t>
    </r>
    <r>
      <rPr>
        <sz val="9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</si>
  <si>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08_</t>
    </r>
    <r>
      <rPr>
        <b val="true"/>
        <sz val="10"/>
        <color rgb="FF1F3864"/>
        <rFont val="Noto Sans CJK SC"/>
        <family val="2"/>
      </rPr>
      <t xml:space="preserve">의존성</t>
    </r>
  </si>
  <si>
    <r>
      <rPr>
        <sz val="9"/>
        <rFont val="Noto Sans CJK SC"/>
        <family val="2"/>
      </rPr>
      <t xml:space="preserve">크레이트 의존성 및 포크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패치 적용 현황</t>
    </r>
    <r>
      <rPr>
        <sz val="9"/>
        <rFont val="Arial"/>
        <family val="0"/>
        <charset val="1"/>
      </rPr>
      <t xml:space="preserve">.</t>
    </r>
  </si>
  <si>
    <r>
      <rPr>
        <b val="true"/>
        <sz val="10"/>
        <color rgb="FF1F3864"/>
        <rFont val="Arial"/>
        <family val="0"/>
        <charset val="1"/>
      </rPr>
      <t xml:space="preserve">09_</t>
    </r>
    <r>
      <rPr>
        <b val="true"/>
        <sz val="10"/>
        <color rgb="FF1F3864"/>
        <rFont val="Noto Sans CJK SC"/>
        <family val="2"/>
      </rPr>
      <t xml:space="preserve">리스크</t>
    </r>
    <r>
      <rPr>
        <b val="true"/>
        <sz val="10"/>
        <color rgb="FF1F3864"/>
        <rFont val="Arial"/>
        <family val="0"/>
        <charset val="1"/>
      </rPr>
      <t xml:space="preserve">_</t>
    </r>
    <r>
      <rPr>
        <b val="true"/>
        <sz val="10"/>
        <color rgb="FF1F3864"/>
        <rFont val="Noto Sans CJK SC"/>
        <family val="2"/>
      </rPr>
      <t xml:space="preserve">로드맵</t>
    </r>
  </si>
  <si>
    <r>
      <rPr>
        <sz val="9"/>
        <rFont val="Noto Sans CJK SC"/>
        <family val="2"/>
      </rPr>
      <t xml:space="preserve">비기능 요구사항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구현 단계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리스크 대응</t>
    </r>
    <r>
      <rPr>
        <sz val="9"/>
        <rFont val="Arial"/>
        <family val="0"/>
        <charset val="1"/>
      </rPr>
      <t xml:space="preserve">, </t>
    </r>
    <r>
      <rPr>
        <sz val="9"/>
        <rFont val="Noto Sans CJK SC"/>
        <family val="2"/>
      </rPr>
      <t xml:space="preserve">문서</t>
    </r>
    <r>
      <rPr>
        <sz val="9"/>
        <rFont val="Arial"/>
        <family val="0"/>
        <charset val="1"/>
      </rPr>
      <t xml:space="preserve">-</t>
    </r>
    <r>
      <rPr>
        <sz val="9"/>
        <rFont val="Noto Sans CJK SC"/>
        <family val="2"/>
      </rPr>
      <t xml:space="preserve">구현 격차</t>
    </r>
    <r>
      <rPr>
        <sz val="9"/>
        <rFont val="Arial"/>
        <family val="0"/>
        <charset val="1"/>
      </rPr>
      <t xml:space="preserve">.</t>
    </r>
  </si>
  <si>
    <r>
      <rPr>
        <i val="true"/>
        <sz val="8"/>
        <color rgb="FF7F7F7F"/>
        <rFont val="Noto Sans CJK SC"/>
        <family val="2"/>
      </rPr>
      <t xml:space="preserve">표기 규칙 — 파란 글씨</t>
    </r>
    <r>
      <rPr>
        <i val="true"/>
        <sz val="8"/>
        <color rgb="FF7F7F7F"/>
        <rFont val="Arial"/>
        <family val="0"/>
        <charset val="1"/>
      </rPr>
      <t xml:space="preserve">: </t>
    </r>
    <r>
      <rPr>
        <i val="true"/>
        <sz val="8"/>
        <color rgb="FF7F7F7F"/>
        <rFont val="Noto Sans CJK SC"/>
        <family val="2"/>
      </rPr>
      <t xml:space="preserve">리포지터리에서 직접 수집한 하드코딩 값</t>
    </r>
    <r>
      <rPr>
        <i val="true"/>
        <sz val="8"/>
        <color rgb="FF7F7F7F"/>
        <rFont val="Arial"/>
        <family val="0"/>
        <charset val="1"/>
      </rPr>
      <t xml:space="preserve">(</t>
    </r>
    <r>
      <rPr>
        <i val="true"/>
        <sz val="8"/>
        <color rgb="FF7F7F7F"/>
        <rFont val="Noto Sans CJK SC"/>
        <family val="2"/>
      </rPr>
      <t xml:space="preserve">스냅샷</t>
    </r>
    <r>
      <rPr>
        <i val="true"/>
        <sz val="8"/>
        <color rgb="FF7F7F7F"/>
        <rFont val="Arial"/>
        <family val="0"/>
        <charset val="1"/>
      </rPr>
      <t xml:space="preserve">) · </t>
    </r>
    <r>
      <rPr>
        <i val="true"/>
        <sz val="8"/>
        <color rgb="FF7F7F7F"/>
        <rFont val="Noto Sans CJK SC"/>
        <family val="2"/>
      </rPr>
      <t xml:space="preserve">검정 글씨</t>
    </r>
    <r>
      <rPr>
        <i val="true"/>
        <sz val="8"/>
        <color rgb="FF7F7F7F"/>
        <rFont val="Arial"/>
        <family val="0"/>
        <charset val="1"/>
      </rPr>
      <t xml:space="preserve">: </t>
    </r>
    <r>
      <rPr>
        <i val="true"/>
        <sz val="8"/>
        <color rgb="FF7F7F7F"/>
        <rFont val="Noto Sans CJK SC"/>
        <family val="2"/>
      </rPr>
      <t xml:space="preserve">수식으로 산출된 값 </t>
    </r>
    <r>
      <rPr>
        <i val="true"/>
        <sz val="8"/>
        <color rgb="FF7F7F7F"/>
        <rFont val="Arial"/>
        <family val="0"/>
        <charset val="1"/>
      </rPr>
      <t xml:space="preserve">· </t>
    </r>
    <r>
      <rPr>
        <i val="true"/>
        <sz val="8"/>
        <color rgb="FF7F7F7F"/>
        <rFont val="Noto Sans CJK SC"/>
        <family val="2"/>
      </rPr>
      <t xml:space="preserve">회색 이탤릭</t>
    </r>
    <r>
      <rPr>
        <i val="true"/>
        <sz val="8"/>
        <color rgb="FF7F7F7F"/>
        <rFont val="Arial"/>
        <family val="0"/>
        <charset val="1"/>
      </rPr>
      <t xml:space="preserve">: </t>
    </r>
    <r>
      <rPr>
        <i val="true"/>
        <sz val="8"/>
        <color rgb="FF7F7F7F"/>
        <rFont val="Noto Sans CJK SC"/>
        <family val="2"/>
      </rPr>
      <t xml:space="preserve">출처 및 가정 주석</t>
    </r>
    <r>
      <rPr>
        <i val="true"/>
        <sz val="8"/>
        <color rgb="FF7F7F7F"/>
        <rFont val="Arial"/>
        <family val="0"/>
        <charset val="1"/>
      </rPr>
      <t xml:space="preserve">. </t>
    </r>
    <r>
      <rPr>
        <i val="true"/>
        <sz val="8"/>
        <color rgb="FF7F7F7F"/>
        <rFont val="Noto Sans CJK SC"/>
        <family val="2"/>
      </rPr>
      <t xml:space="preserve">모든 정량 지표는 </t>
    </r>
    <r>
      <rPr>
        <i val="true"/>
        <sz val="8"/>
        <color rgb="FF7F7F7F"/>
        <rFont val="Arial"/>
        <family val="0"/>
        <charset val="1"/>
      </rPr>
      <t xml:space="preserve">main </t>
    </r>
    <r>
      <rPr>
        <i val="true"/>
        <sz val="8"/>
        <color rgb="FF7F7F7F"/>
        <rFont val="Noto Sans CJK SC"/>
        <family val="2"/>
      </rPr>
      <t xml:space="preserve">브랜치 얕은 클론</t>
    </r>
    <r>
      <rPr>
        <i val="true"/>
        <sz val="8"/>
        <color rgb="FF7F7F7F"/>
        <rFont val="Arial"/>
        <family val="0"/>
        <charset val="1"/>
      </rPr>
      <t xml:space="preserve">(2026-07-27)</t>
    </r>
    <r>
      <rPr>
        <i val="true"/>
        <sz val="8"/>
        <color rgb="FF7F7F7F"/>
        <rFont val="Noto Sans CJK SC"/>
        <family val="2"/>
      </rPr>
      <t xml:space="preserve">에서 기계적으로 계산했습니다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</si>
  <si>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5"/>
        <color rgb="FFFFFFFF"/>
        <rFont val="Arial"/>
        <family val="0"/>
        <charset val="1"/>
      </rPr>
      <t xml:space="preserve">01. </t>
    </r>
    <r>
      <rPr>
        <b val="true"/>
        <sz val="15"/>
        <color rgb="FFFFFFFF"/>
        <rFont val="Noto Sans CJK SC"/>
        <family val="2"/>
      </rPr>
      <t xml:space="preserve">대시보드 — 코드베이스</t>
    </r>
    <r>
      <rPr>
        <b val="true"/>
        <sz val="15"/>
        <color rgb="FFFFFFFF"/>
        <rFont val="Arial"/>
        <family val="0"/>
        <charset val="1"/>
      </rPr>
      <t xml:space="preserve">·</t>
    </r>
    <r>
      <rPr>
        <b val="true"/>
        <sz val="15"/>
        <color rgb="FFFFFFFF"/>
        <rFont val="Noto Sans CJK SC"/>
        <family val="2"/>
      </rPr>
      <t xml:space="preserve">검증</t>
    </r>
    <r>
      <rPr>
        <b val="true"/>
        <sz val="15"/>
        <color rgb="FFFFFFFF"/>
        <rFont val="Arial"/>
        <family val="0"/>
        <charset val="1"/>
      </rPr>
      <t xml:space="preserve">·</t>
    </r>
    <r>
      <rPr>
        <b val="true"/>
        <sz val="15"/>
        <color rgb="FFFFFFFF"/>
        <rFont val="Noto Sans CJK SC"/>
        <family val="2"/>
      </rPr>
      <t xml:space="preserve">릴리스 핵심 지표</t>
    </r>
  </si>
  <si>
    <r>
      <rPr>
        <i val="true"/>
        <sz val="9"/>
        <color rgb="FF404040"/>
        <rFont val="Noto Sans CJK SC"/>
        <family val="2"/>
      </rPr>
      <t xml:space="preserve">모든 수치 셀은 타 시트를 참조하는 수식입니다</t>
    </r>
    <r>
      <rPr>
        <i val="true"/>
        <sz val="9"/>
        <color rgb="FF404040"/>
        <rFont val="Arial"/>
        <family val="0"/>
        <charset val="1"/>
      </rPr>
      <t xml:space="preserve">(</t>
    </r>
    <r>
      <rPr>
        <i val="true"/>
        <sz val="9"/>
        <color rgb="FF404040"/>
        <rFont val="Noto Sans CJK SC"/>
        <family val="2"/>
      </rPr>
      <t xml:space="preserve">하드코딩 없음</t>
    </r>
    <r>
      <rPr>
        <i val="true"/>
        <sz val="9"/>
        <color rgb="FF404040"/>
        <rFont val="Arial"/>
        <family val="0"/>
        <charset val="1"/>
      </rPr>
      <t xml:space="preserve">). </t>
    </r>
    <r>
      <rPr>
        <i val="true"/>
        <sz val="9"/>
        <color rgb="FF404040"/>
        <rFont val="Noto Sans CJK SC"/>
        <family val="2"/>
      </rPr>
      <t xml:space="preserve">원천</t>
    </r>
    <r>
      <rPr>
        <i val="true"/>
        <sz val="9"/>
        <color rgb="FF404040"/>
        <rFont val="Arial"/>
        <family val="0"/>
        <charset val="1"/>
      </rPr>
      <t xml:space="preserve">: 05_</t>
    </r>
    <r>
      <rPr>
        <i val="true"/>
        <sz val="9"/>
        <color rgb="FF404040"/>
        <rFont val="Noto Sans CJK SC"/>
        <family val="2"/>
      </rPr>
      <t xml:space="preserve">모듈</t>
    </r>
    <r>
      <rPr>
        <i val="true"/>
        <sz val="9"/>
        <color rgb="FF404040"/>
        <rFont val="Arial"/>
        <family val="0"/>
        <charset val="1"/>
      </rPr>
      <t xml:space="preserve">_</t>
    </r>
    <r>
      <rPr>
        <i val="true"/>
        <sz val="9"/>
        <color rgb="FF404040"/>
        <rFont val="Noto Sans CJK SC"/>
        <family val="2"/>
      </rPr>
      <t xml:space="preserve">인벤토리 </t>
    </r>
    <r>
      <rPr>
        <i val="true"/>
        <sz val="9"/>
        <color rgb="FF404040"/>
        <rFont val="Arial"/>
        <family val="0"/>
        <charset val="1"/>
      </rPr>
      <t xml:space="preserve">/ 06_</t>
    </r>
    <r>
      <rPr>
        <i val="true"/>
        <sz val="9"/>
        <color rgb="FF404040"/>
        <rFont val="Noto Sans CJK SC"/>
        <family val="2"/>
      </rPr>
      <t xml:space="preserve">릴리스</t>
    </r>
    <r>
      <rPr>
        <i val="true"/>
        <sz val="9"/>
        <color rgb="FF404040"/>
        <rFont val="Arial"/>
        <family val="0"/>
        <charset val="1"/>
      </rPr>
      <t xml:space="preserve">_</t>
    </r>
    <r>
      <rPr>
        <i val="true"/>
        <sz val="9"/>
        <color rgb="FF404040"/>
        <rFont val="Noto Sans CJK SC"/>
        <family val="2"/>
      </rPr>
      <t xml:space="preserve">이력 </t>
    </r>
    <r>
      <rPr>
        <i val="true"/>
        <sz val="9"/>
        <color rgb="FF404040"/>
        <rFont val="Arial"/>
        <family val="0"/>
        <charset val="1"/>
      </rPr>
      <t xml:space="preserve">/ 07_</t>
    </r>
    <r>
      <rPr>
        <i val="true"/>
        <sz val="9"/>
        <color rgb="FF404040"/>
        <rFont val="Noto Sans CJK SC"/>
        <family val="2"/>
      </rPr>
      <t xml:space="preserve">검증</t>
    </r>
    <r>
      <rPr>
        <i val="true"/>
        <sz val="9"/>
        <color rgb="FF404040"/>
        <rFont val="Arial"/>
        <family val="0"/>
        <charset val="1"/>
      </rPr>
      <t xml:space="preserve">_</t>
    </r>
    <r>
      <rPr>
        <i val="true"/>
        <sz val="9"/>
        <color rgb="FF404040"/>
        <rFont val="Noto Sans CJK SC"/>
        <family val="2"/>
      </rPr>
      <t xml:space="preserve">품질게이트</t>
    </r>
    <r>
      <rPr>
        <i val="true"/>
        <sz val="9"/>
        <color rgb="FF404040"/>
        <rFont val="Arial"/>
        <family val="0"/>
        <charset val="1"/>
      </rPr>
      <t xml:space="preserve">.</t>
    </r>
  </si>
  <si>
    <r>
      <rPr>
        <b val="true"/>
        <sz val="11"/>
        <color rgb="FF1F3864"/>
        <rFont val="Noto Sans CJK SC"/>
        <family val="2"/>
      </rPr>
      <t xml:space="preserve">핵심 지표</t>
    </r>
    <r>
      <rPr>
        <b val="true"/>
        <sz val="11"/>
        <color rgb="FF1F3864"/>
        <rFont val="Arial"/>
        <family val="0"/>
        <charset val="1"/>
      </rPr>
      <t xml:space="preserve">(KPI)</t>
    </r>
  </si>
  <si>
    <r>
      <rPr>
        <b val="true"/>
        <sz val="10"/>
        <rFont val="Noto Sans CJK SC"/>
        <family val="2"/>
      </rPr>
      <t xml:space="preserve">소스 파일 수 </t>
    </r>
    <r>
      <rPr>
        <b val="true"/>
        <sz val="10"/>
        <rFont val="Arial"/>
        <family val="0"/>
        <charset val="1"/>
      </rPr>
      <t xml:space="preserve">(.rs)</t>
    </r>
  </si>
  <si>
    <t xml:space="preserve">커밋 픽스처 문서 수</t>
  </si>
  <si>
    <r>
      <rPr>
        <b val="true"/>
        <sz val="10"/>
        <rFont val="Noto Sans CJK SC"/>
        <family val="2"/>
      </rPr>
      <t xml:space="preserve">총 </t>
    </r>
    <r>
      <rPr>
        <b val="true"/>
        <sz val="10"/>
        <rFont val="Arial"/>
        <family val="0"/>
        <charset val="1"/>
      </rPr>
      <t xml:space="preserve">LOC</t>
    </r>
  </si>
  <si>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잡 수</t>
    </r>
  </si>
  <si>
    <r>
      <rPr>
        <b val="true"/>
        <sz val="10"/>
        <rFont val="Noto Sans CJK SC"/>
        <family val="2"/>
      </rPr>
      <t xml:space="preserve">프로덕션 </t>
    </r>
    <r>
      <rPr>
        <b val="true"/>
        <sz val="10"/>
        <rFont val="Arial"/>
        <family val="0"/>
        <charset val="1"/>
      </rPr>
      <t xml:space="preserve">LOC</t>
    </r>
  </si>
  <si>
    <t xml:space="preserve">정식 릴리스 수</t>
  </si>
  <si>
    <r>
      <rPr>
        <b val="true"/>
        <sz val="10"/>
        <rFont val="Noto Sans CJK SC"/>
        <family val="2"/>
      </rPr>
      <t xml:space="preserve">테스트 </t>
    </r>
    <r>
      <rPr>
        <b val="true"/>
        <sz val="10"/>
        <rFont val="Arial"/>
        <family val="0"/>
        <charset val="1"/>
      </rPr>
      <t xml:space="preserve">LOC</t>
    </r>
  </si>
  <si>
    <t xml:space="preserve">버그 수정 시각 증적 디렉터리</t>
  </si>
  <si>
    <r>
      <rPr>
        <b val="true"/>
        <sz val="10"/>
        <rFont val="Noto Sans CJK SC"/>
        <family val="2"/>
      </rPr>
      <t xml:space="preserve">테스트 </t>
    </r>
    <r>
      <rPr>
        <b val="true"/>
        <sz val="10"/>
        <rFont val="Arial"/>
        <family val="0"/>
        <charset val="1"/>
      </rPr>
      <t xml:space="preserve">LOC / </t>
    </r>
    <r>
      <rPr>
        <b val="true"/>
        <sz val="10"/>
        <rFont val="Noto Sans CJK SC"/>
        <family val="2"/>
      </rPr>
      <t xml:space="preserve">프로덕션 </t>
    </r>
    <r>
      <rPr>
        <b val="true"/>
        <sz val="10"/>
        <rFont val="Arial"/>
        <family val="0"/>
        <charset val="1"/>
      </rPr>
      <t xml:space="preserve">LOC</t>
    </r>
  </si>
  <si>
    <r>
      <rPr>
        <b val="true"/>
        <sz val="10"/>
        <rFont val="Arial"/>
        <family val="0"/>
        <charset val="1"/>
      </rPr>
      <t xml:space="preserve">parser </t>
    </r>
    <r>
      <rPr>
        <b val="true"/>
        <sz val="10"/>
        <rFont val="Noto Sans CJK SC"/>
        <family val="2"/>
      </rPr>
      <t xml:space="preserve">계층 </t>
    </r>
    <r>
      <rPr>
        <b val="true"/>
        <sz val="10"/>
        <rFont val="Arial"/>
        <family val="0"/>
        <charset val="1"/>
      </rPr>
      <t xml:space="preserve">LOC </t>
    </r>
    <r>
      <rPr>
        <b val="true"/>
        <sz val="10"/>
        <rFont val="Noto Sans CJK SC"/>
        <family val="2"/>
      </rPr>
      <t xml:space="preserve">비중</t>
    </r>
  </si>
  <si>
    <r>
      <rPr>
        <b val="true"/>
        <sz val="10"/>
        <rFont val="Arial"/>
        <family val="0"/>
        <charset val="1"/>
      </rPr>
      <t xml:space="preserve">#[test] </t>
    </r>
    <r>
      <rPr>
        <b val="true"/>
        <sz val="10"/>
        <rFont val="Noto Sans CJK SC"/>
        <family val="2"/>
      </rPr>
      <t xml:space="preserve">어노테이션 총계</t>
    </r>
  </si>
  <si>
    <r>
      <rPr>
        <b val="true"/>
        <sz val="10"/>
        <rFont val="Noto Sans CJK SC"/>
        <family val="2"/>
      </rPr>
      <t xml:space="preserve">파일당 평균 </t>
    </r>
    <r>
      <rPr>
        <b val="true"/>
        <sz val="10"/>
        <rFont val="Arial"/>
        <family val="0"/>
        <charset val="1"/>
      </rPr>
      <t xml:space="preserve">LOC</t>
    </r>
  </si>
  <si>
    <r>
      <rPr>
        <b val="true"/>
        <sz val="11"/>
        <color rgb="FF1F3864"/>
        <rFont val="Noto Sans CJK SC"/>
        <family val="2"/>
      </rPr>
      <t xml:space="preserve">차트 원천 데이터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수식 산출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</si>
  <si>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계층</t>
  </si>
  <si>
    <r>
      <rPr>
        <b val="true"/>
        <sz val="10"/>
        <color rgb="FFFFFFFF"/>
        <rFont val="Noto Sans CJK SC"/>
        <family val="2"/>
      </rPr>
      <t xml:space="preserve">프로덕션 </t>
    </r>
    <r>
      <rPr>
        <b val="true"/>
        <sz val="10"/>
        <color rgb="FFFFFFFF"/>
        <rFont val="Arial"/>
        <family val="0"/>
        <charset val="1"/>
      </rPr>
      <t xml:space="preserve">LOC</t>
    </r>
  </si>
  <si>
    <t xml:space="preserve">대상 포맷</t>
  </si>
  <si>
    <t xml:space="preserve">커밋 픽스처 수</t>
  </si>
  <si>
    <t xml:space="preserve">소스 파일 수</t>
  </si>
  <si>
    <t xml:space="preserve">parser</t>
  </si>
  <si>
    <t xml:space="preserve">DOCX</t>
  </si>
  <si>
    <t xml:space="preserve">render</t>
  </si>
  <si>
    <t xml:space="preserve">PPTX</t>
  </si>
  <si>
    <t xml:space="preserve">core</t>
  </si>
  <si>
    <t xml:space="preserve">XLSX</t>
  </si>
  <si>
    <t xml:space="preserve">ir</t>
  </si>
  <si>
    <t xml:space="preserve">common</t>
  </si>
  <si>
    <t xml:space="preserve">integration-tests</t>
  </si>
  <si>
    <r>
      <rPr>
        <i val="true"/>
        <sz val="8"/>
        <color rgb="FF7F7F7F"/>
        <rFont val="Noto Sans CJK SC"/>
        <family val="2"/>
      </rPr>
      <t xml:space="preserve">계층 </t>
    </r>
    <r>
      <rPr>
        <i val="true"/>
        <sz val="8"/>
        <color rgb="FF7F7F7F"/>
        <rFont val="Arial"/>
        <family val="0"/>
        <charset val="1"/>
      </rPr>
      <t xml:space="preserve">LOC</t>
    </r>
    <r>
      <rPr>
        <i val="true"/>
        <sz val="8"/>
        <color rgb="FF7F7F7F"/>
        <rFont val="Noto Sans CJK SC"/>
        <family val="2"/>
      </rPr>
      <t xml:space="preserve">는 프로덕션 파일</t>
    </r>
    <r>
      <rPr>
        <i val="true"/>
        <sz val="8"/>
        <color rgb="FF7F7F7F"/>
        <rFont val="Arial"/>
        <family val="0"/>
        <charset val="1"/>
      </rPr>
      <t xml:space="preserve">(</t>
    </r>
    <r>
      <rPr>
        <i val="true"/>
        <sz val="8"/>
        <color rgb="FF7F7F7F"/>
        <rFont val="Noto Sans CJK SC"/>
        <family val="2"/>
      </rPr>
      <t xml:space="preserve">파일명이 </t>
    </r>
    <r>
      <rPr>
        <i val="true"/>
        <sz val="8"/>
        <color rgb="FF7F7F7F"/>
        <rFont val="Arial"/>
        <family val="0"/>
        <charset val="1"/>
      </rPr>
      <t xml:space="preserve">_tests.rs </t>
    </r>
    <r>
      <rPr>
        <i val="true"/>
        <sz val="8"/>
        <color rgb="FF7F7F7F"/>
        <rFont val="Noto Sans CJK SC"/>
        <family val="2"/>
      </rPr>
      <t xml:space="preserve">로 끝나지 않는 파일</t>
    </r>
    <r>
      <rPr>
        <i val="true"/>
        <sz val="8"/>
        <color rgb="FF7F7F7F"/>
        <rFont val="Arial"/>
        <family val="0"/>
        <charset val="1"/>
      </rPr>
      <t xml:space="preserve">)</t>
    </r>
    <r>
      <rPr>
        <i val="true"/>
        <sz val="8"/>
        <color rgb="FF7F7F7F"/>
        <rFont val="Noto Sans CJK SC"/>
        <family val="2"/>
      </rPr>
      <t xml:space="preserve">만 집계합니다</t>
    </r>
    <r>
      <rPr>
        <i val="true"/>
        <sz val="8"/>
        <color rgb="FF7F7F7F"/>
        <rFont val="Arial"/>
        <family val="0"/>
        <charset val="1"/>
      </rPr>
      <t xml:space="preserve">. </t>
    </r>
    <r>
      <rPr>
        <i val="true"/>
        <sz val="8"/>
        <color rgb="FF7F7F7F"/>
        <rFont val="Noto Sans CJK SC"/>
        <family val="2"/>
      </rPr>
      <t xml:space="preserve">커밋 픽스처 수는 </t>
    </r>
    <r>
      <rPr>
        <i val="true"/>
        <sz val="8"/>
        <color rgb="FF7F7F7F"/>
        <rFont val="Arial"/>
        <family val="0"/>
        <charset val="1"/>
      </rPr>
      <t xml:space="preserve">tests/fixtures/{docx,pptx,xlsx} </t>
    </r>
    <r>
      <rPr>
        <i val="true"/>
        <sz val="8"/>
        <color rgb="FF7F7F7F"/>
        <rFont val="Noto Sans CJK SC"/>
        <family val="2"/>
      </rPr>
      <t xml:space="preserve">하위 실제 문서 파일 수이며</t>
    </r>
    <r>
      <rPr>
        <i val="true"/>
        <sz val="8"/>
        <color rgb="FF7F7F7F"/>
        <rFont val="Arial"/>
        <family val="0"/>
        <charset val="1"/>
      </rPr>
      <t xml:space="preserve">, </t>
    </r>
    <r>
      <rPr>
        <i val="true"/>
        <sz val="8"/>
        <color rgb="FF7F7F7F"/>
        <rFont val="Noto Sans CJK SC"/>
        <family val="2"/>
      </rPr>
      <t xml:space="preserve">외부 대량 코퍼스</t>
    </r>
    <r>
      <rPr>
        <i val="true"/>
        <sz val="8"/>
        <color rgb="FF7F7F7F"/>
        <rFont val="Arial"/>
        <family val="0"/>
        <charset val="1"/>
      </rPr>
      <t xml:space="preserve">(fixtures-v1, 2,695</t>
    </r>
    <r>
      <rPr>
        <i val="true"/>
        <sz val="8"/>
        <color rgb="FF7F7F7F"/>
        <rFont val="Noto Sans CJK SC"/>
        <family val="2"/>
      </rPr>
      <t xml:space="preserve">개</t>
    </r>
    <r>
      <rPr>
        <i val="true"/>
        <sz val="8"/>
        <color rgb="FF7F7F7F"/>
        <rFont val="Arial"/>
        <family val="0"/>
        <charset val="1"/>
      </rPr>
      <t xml:space="preserve">)</t>
    </r>
    <r>
      <rPr>
        <i val="true"/>
        <sz val="8"/>
        <color rgb="FF7F7F7F"/>
        <rFont val="Noto Sans CJK SC"/>
        <family val="2"/>
      </rPr>
      <t xml:space="preserve">는 저장소에 커밋되지 않아 제외했습니다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</si>
  <si>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5"/>
        <color rgb="FFFFFFFF"/>
        <rFont val="Arial"/>
        <family val="0"/>
        <charset val="1"/>
      </rPr>
      <t xml:space="preserve">02. </t>
    </r>
    <r>
      <rPr>
        <b val="true"/>
        <sz val="15"/>
        <color rgb="FFFFFFFF"/>
        <rFont val="Noto Sans CJK SC"/>
        <family val="2"/>
      </rPr>
      <t xml:space="preserve">지원 기능 매트릭스 — 포맷 </t>
    </r>
    <r>
      <rPr>
        <b val="true"/>
        <sz val="15"/>
        <color rgb="FFFFFFFF"/>
        <rFont val="Arial"/>
        <family val="0"/>
        <charset val="1"/>
      </rPr>
      <t xml:space="preserve">× </t>
    </r>
    <r>
      <rPr>
        <b val="true"/>
        <sz val="15"/>
        <color rgb="FFFFFFFF"/>
        <rFont val="Noto Sans CJK SC"/>
        <family val="2"/>
      </rPr>
      <t xml:space="preserve">기능 영역 </t>
    </r>
    <r>
      <rPr>
        <b val="true"/>
        <sz val="15"/>
        <color rgb="FFFFFFFF"/>
        <rFont val="Arial"/>
        <family val="0"/>
        <charset val="1"/>
      </rPr>
      <t xml:space="preserve">× </t>
    </r>
    <r>
      <rPr>
        <b val="true"/>
        <sz val="15"/>
        <color rgb="FFFFFFFF"/>
        <rFont val="Noto Sans CJK SC"/>
        <family val="2"/>
      </rPr>
      <t xml:space="preserve">구현 상태 </t>
    </r>
    <r>
      <rPr>
        <b val="true"/>
        <sz val="15"/>
        <color rgb="FFFFFFFF"/>
        <rFont val="Arial"/>
        <family val="0"/>
        <charset val="1"/>
      </rPr>
      <t xml:space="preserve">× PRD </t>
    </r>
    <r>
      <rPr>
        <b val="true"/>
        <sz val="15"/>
        <color rgb="FFFFFFFF"/>
        <rFont val="Noto Sans CJK SC"/>
        <family val="2"/>
      </rPr>
      <t xml:space="preserve">우선순위</t>
    </r>
  </si>
  <si>
    <r>
      <rPr>
        <i val="true"/>
        <sz val="9"/>
        <color rgb="FF404040"/>
        <rFont val="Noto Sans CJK SC"/>
        <family val="2"/>
      </rPr>
      <t xml:space="preserve">구현 상태는 </t>
    </r>
    <r>
      <rPr>
        <i val="true"/>
        <sz val="9"/>
        <color rgb="FF404040"/>
        <rFont val="Arial"/>
        <family val="0"/>
        <charset val="1"/>
      </rPr>
      <t xml:space="preserve">README Features / </t>
    </r>
    <r>
      <rPr>
        <i val="true"/>
        <sz val="9"/>
        <color rgb="FF404040"/>
        <rFont val="Noto Sans CJK SC"/>
        <family val="2"/>
      </rPr>
      <t xml:space="preserve">릴리스 노트 </t>
    </r>
    <r>
      <rPr>
        <i val="true"/>
        <sz val="9"/>
        <color rgb="FF404040"/>
        <rFont val="Arial"/>
        <family val="0"/>
        <charset val="1"/>
      </rPr>
      <t xml:space="preserve">/ main </t>
    </r>
    <r>
      <rPr>
        <i val="true"/>
        <sz val="9"/>
        <color rgb="FF404040"/>
        <rFont val="Noto Sans CJK SC"/>
        <family val="2"/>
      </rPr>
      <t xml:space="preserve">브랜치 소스 모듈 존재 여부를 교차 확인한 결과입니다</t>
    </r>
    <r>
      <rPr>
        <i val="true"/>
        <sz val="9"/>
        <color rgb="FF404040"/>
        <rFont val="Arial"/>
        <family val="0"/>
        <charset val="1"/>
      </rPr>
      <t xml:space="preserve">. </t>
    </r>
    <r>
      <rPr>
        <i val="true"/>
        <sz val="9"/>
        <color rgb="FF404040"/>
        <rFont val="Noto Sans CJK SC"/>
        <family val="2"/>
      </rPr>
      <t xml:space="preserve">헤더 행에서 자동 필터를 사용하십시오</t>
    </r>
    <r>
      <rPr>
        <i val="true"/>
        <sz val="9"/>
        <color rgb="FF404040"/>
        <rFont val="Arial"/>
        <family val="0"/>
        <charset val="1"/>
      </rPr>
      <t xml:space="preserve">.</t>
    </r>
  </si>
  <si>
    <t xml:space="preserve">ID</t>
  </si>
  <si>
    <t xml:space="preserve">기능 영역</t>
  </si>
  <si>
    <r>
      <rPr>
        <b val="true"/>
        <sz val="10"/>
        <color rgb="FFFFFFFF"/>
        <rFont val="Arial"/>
        <family val="0"/>
        <charset val="1"/>
      </rPr>
      <t xml:space="preserve">OOXML </t>
    </r>
    <r>
      <rPr>
        <b val="true"/>
        <sz val="10"/>
        <color rgb="FFFFFFFF"/>
        <rFont val="Noto Sans CJK SC"/>
        <family val="2"/>
      </rPr>
      <t xml:space="preserve">요소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개념</t>
    </r>
  </si>
  <si>
    <t xml:space="preserve">구현 상태</t>
  </si>
  <si>
    <r>
      <rPr>
        <b val="true"/>
        <sz val="10"/>
        <color rgb="FFFFFFFF"/>
        <rFont val="Arial"/>
        <family val="0"/>
        <charset val="1"/>
      </rPr>
      <t xml:space="preserve">PRD </t>
    </r>
    <r>
      <rPr>
        <b val="true"/>
        <sz val="10"/>
        <color rgb="FFFFFFFF"/>
        <rFont val="Noto Sans CJK SC"/>
        <family val="2"/>
      </rPr>
      <t xml:space="preserve">우선순위</t>
    </r>
  </si>
  <si>
    <t xml:space="preserve">상태 가중치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</si>
  <si>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소스 모듈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릴리스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</si>
  <si>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F-001</t>
  </si>
  <si>
    <t xml:space="preserve">본문 텍스트 흐름</t>
  </si>
  <si>
    <t xml:space="preserve">w:p, w:br, w:lastRenderedPageBreak</t>
  </si>
  <si>
    <t xml:space="preserve">구현 완료</t>
  </si>
  <si>
    <t xml:space="preserve">P0</t>
  </si>
  <si>
    <t xml:space="preserve">parser/docx_text.rs · README Features</t>
  </si>
  <si>
    <t xml:space="preserve">F-002</t>
  </si>
  <si>
    <t xml:space="preserve">인라인 문자 서식</t>
  </si>
  <si>
    <t xml:space="preserve">w:rPr (b, i, u, strike, color, sz)</t>
  </si>
  <si>
    <t xml:space="preserve">F-003</t>
  </si>
  <si>
    <r>
      <rPr>
        <sz val="10"/>
        <color rgb="FF000000"/>
        <rFont val="Noto Sans CJK SC"/>
        <family val="2"/>
      </rPr>
      <t xml:space="preserve">단락 서식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탭 정지</t>
    </r>
  </si>
  <si>
    <t xml:space="preserve">w:jc, w:ind, w:spacing, w:defaultTabStop</t>
  </si>
  <si>
    <t xml:space="preserve">v0.6.4 PR #401 · PR #403 (grid leading)</t>
  </si>
  <si>
    <t xml:space="preserve">F-004</t>
  </si>
  <si>
    <t xml:space="preserve">문서 스타일시트</t>
  </si>
  <si>
    <t xml:space="preserve">styles.xml, w:pStyle, w:rStyle</t>
  </si>
  <si>
    <t xml:space="preserve">P1</t>
  </si>
  <si>
    <t xml:space="preserve">parser/docx_styles.rs</t>
  </si>
  <si>
    <t xml:space="preserve">F-005</t>
  </si>
  <si>
    <r>
      <rPr>
        <sz val="10"/>
        <color rgb="FF000000"/>
        <rFont val="Noto Sans CJK SC"/>
        <family val="2"/>
      </rPr>
      <t xml:space="preserve">표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병합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테두리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음영</t>
    </r>
    <r>
      <rPr>
        <sz val="10"/>
        <color rgb="FF000000"/>
        <rFont val="Arial"/>
        <family val="0"/>
        <charset val="1"/>
      </rPr>
      <t xml:space="preserve">)</t>
    </r>
  </si>
  <si>
    <t xml:space="preserve">w:tbl, w:tcPr, w:tblLook, w:vMerge</t>
  </si>
  <si>
    <t xml:space="preserve">parser/docx_tables.rs, docx_context_table_style.rs · v0.6.2</t>
  </si>
  <si>
    <t xml:space="preserve">F-006</t>
  </si>
  <si>
    <t xml:space="preserve">표 헤더 행 반복</t>
  </si>
  <si>
    <t xml:space="preserve">w:tblHeader</t>
  </si>
  <si>
    <t xml:space="preserve">parser/docx_context_table_header.rs</t>
  </si>
  <si>
    <t xml:space="preserve">F-007</t>
  </si>
  <si>
    <r>
      <rPr>
        <sz val="10"/>
        <color rgb="FF000000"/>
        <rFont val="Noto Sans CJK SC"/>
        <family val="2"/>
      </rPr>
      <t xml:space="preserve">다단계 목록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번호 재시작</t>
    </r>
  </si>
  <si>
    <t xml:space="preserve">numbering.xml, w:numPr, w:lvlOverride</t>
  </si>
  <si>
    <t xml:space="preserve">parser/docx_lists.rs · v0.6.0 · v0.6.2</t>
  </si>
  <si>
    <t xml:space="preserve">F-008</t>
  </si>
  <si>
    <r>
      <rPr>
        <sz val="10"/>
        <color rgb="FF000000"/>
        <rFont val="Noto Sans CJK SC"/>
        <family val="2"/>
      </rPr>
      <t xml:space="preserve">인라인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부동 이미지</t>
    </r>
  </si>
  <si>
    <t xml:space="preserve">wp:inline, wp:anchor, a:blip</t>
  </si>
  <si>
    <r>
      <rPr>
        <sz val="10"/>
        <color rgb="FF000000"/>
        <rFont val="Arial"/>
        <family val="0"/>
        <charset val="1"/>
      </rPr>
      <t xml:space="preserve">parser/docx_media.rs · v0.6.1 (</t>
    </r>
    <r>
      <rPr>
        <sz val="10"/>
        <color rgb="FF000000"/>
        <rFont val="Noto Sans CJK SC"/>
        <family val="2"/>
      </rPr>
      <t xml:space="preserve">머리글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바닥글 이미지</t>
    </r>
    <r>
      <rPr>
        <sz val="10"/>
        <color rgb="FF000000"/>
        <rFont val="Arial"/>
        <family val="0"/>
        <charset val="1"/>
      </rPr>
      <t xml:space="preserve">)</t>
    </r>
  </si>
  <si>
    <t xml:space="preserve">F-009</t>
  </si>
  <si>
    <t xml:space="preserve">레거시 벡터 이미지</t>
  </si>
  <si>
    <r>
      <rPr>
        <sz val="10"/>
        <color rgb="FF000000"/>
        <rFont val="Arial"/>
        <family val="0"/>
        <charset val="1"/>
      </rPr>
      <t xml:space="preserve">EMF, WMF, VML(v:shape), WPG </t>
    </r>
    <r>
      <rPr>
        <sz val="10"/>
        <color rgb="FF000000"/>
        <rFont val="Noto Sans CJK SC"/>
        <family val="2"/>
      </rPr>
      <t xml:space="preserve">그룹</t>
    </r>
  </si>
  <si>
    <t xml:space="preserve">P3</t>
  </si>
  <si>
    <t xml:space="preserve">parser/docx_context_vml.rs, wmf.rs · v0.6.2</t>
  </si>
  <si>
    <t xml:space="preserve">F-010</t>
  </si>
  <si>
    <r>
      <rPr>
        <sz val="10"/>
        <color rgb="FF000000"/>
        <rFont val="Noto Sans CJK SC"/>
        <family val="2"/>
      </rPr>
      <t xml:space="preserve">드로잉 도형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커넥터</t>
    </r>
  </si>
  <si>
    <r>
      <rPr>
        <sz val="10"/>
        <color rgb="FF000000"/>
        <rFont val="Arial"/>
        <family val="0"/>
        <charset val="1"/>
      </rPr>
      <t xml:space="preserve">wps:wsp, a:prstGeom, </t>
    </r>
    <r>
      <rPr>
        <sz val="10"/>
        <color rgb="FF000000"/>
        <rFont val="Noto Sans CJK SC"/>
        <family val="2"/>
      </rPr>
      <t xml:space="preserve">텍스트 상자</t>
    </r>
  </si>
  <si>
    <t xml:space="preserve">parser/docx_context_shape.rs · v0.6.0 (issue #176)</t>
  </si>
  <si>
    <t xml:space="preserve">F-011</t>
  </si>
  <si>
    <r>
      <rPr>
        <sz val="10"/>
        <color rgb="FF000000"/>
        <rFont val="Noto Sans CJK SC"/>
        <family val="2"/>
      </rPr>
      <t xml:space="preserve">머리글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바닥글</t>
    </r>
  </si>
  <si>
    <r>
      <rPr>
        <sz val="10"/>
        <color rgb="FF000000"/>
        <rFont val="Arial"/>
        <family val="0"/>
        <charset val="1"/>
      </rPr>
      <t xml:space="preserve">w:hdr, w:ftr, </t>
    </r>
    <r>
      <rPr>
        <sz val="10"/>
        <color rgb="FF000000"/>
        <rFont val="Noto Sans CJK SC"/>
        <family val="2"/>
      </rPr>
      <t xml:space="preserve">페이지 번호 필드</t>
    </r>
  </si>
  <si>
    <t xml:space="preserve">parser/docx_sections.rs · v0.6.1 · v0.6.2</t>
  </si>
  <si>
    <t xml:space="preserve">F-012</t>
  </si>
  <si>
    <r>
      <rPr>
        <sz val="10"/>
        <color rgb="FF000000"/>
        <rFont val="Noto Sans CJK SC"/>
        <family val="2"/>
      </rPr>
      <t xml:space="preserve">페이지 설정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다단 편집</t>
    </r>
  </si>
  <si>
    <t xml:space="preserve">w:sectPr, w:pgSz, w:pgMar, w:cols</t>
  </si>
  <si>
    <t xml:space="preserve">parser/docx_context_columns.rs</t>
  </si>
  <si>
    <t xml:space="preserve">F-013</t>
  </si>
  <si>
    <t xml:space="preserve">하이퍼링크</t>
  </si>
  <si>
    <r>
      <rPr>
        <sz val="10"/>
        <color rgb="FF000000"/>
        <rFont val="Arial"/>
        <family val="0"/>
        <charset val="1"/>
      </rPr>
      <t xml:space="preserve">w:hyperlink → PDF </t>
    </r>
    <r>
      <rPr>
        <sz val="10"/>
        <color rgb="FF000000"/>
        <rFont val="Noto Sans CJK SC"/>
        <family val="2"/>
      </rPr>
      <t xml:space="preserve">링크 주석</t>
    </r>
  </si>
  <si>
    <t xml:space="preserve">P2</t>
  </si>
  <si>
    <r>
      <rPr>
        <sz val="10"/>
        <color rgb="FF000000"/>
        <rFont val="Arial"/>
        <family val="0"/>
        <charset val="1"/>
      </rPr>
      <t xml:space="preserve">parser/docx_text.rs (Hyperlink </t>
    </r>
    <r>
      <rPr>
        <sz val="10"/>
        <color rgb="FF000000"/>
        <rFont val="Noto Sans CJK SC"/>
        <family val="2"/>
      </rPr>
      <t xml:space="preserve">처리</t>
    </r>
    <r>
      <rPr>
        <sz val="10"/>
        <color rgb="FF000000"/>
        <rFont val="Arial"/>
        <family val="0"/>
        <charset val="1"/>
      </rPr>
      <t xml:space="preserve">)</t>
    </r>
  </si>
  <si>
    <t xml:space="preserve">F-014</t>
  </si>
  <si>
    <r>
      <rPr>
        <sz val="10"/>
        <color rgb="FF000000"/>
        <rFont val="Noto Sans CJK SC"/>
        <family val="2"/>
      </rPr>
      <t xml:space="preserve">목차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단순 필드</t>
    </r>
  </si>
  <si>
    <r>
      <rPr>
        <sz val="10"/>
        <color rgb="FF000000"/>
        <rFont val="Arial"/>
        <family val="0"/>
        <charset val="1"/>
      </rPr>
      <t xml:space="preserve">w:fldSimple, TOC </t>
    </r>
    <r>
      <rPr>
        <sz val="10"/>
        <color rgb="FF000000"/>
        <rFont val="Noto Sans CJK SC"/>
        <family val="2"/>
      </rPr>
      <t xml:space="preserve">필드</t>
    </r>
  </si>
  <si>
    <t xml:space="preserve">parser/docx.rs · v0.6.2 (simple fields)</t>
  </si>
  <si>
    <t xml:space="preserve">F-015</t>
  </si>
  <si>
    <r>
      <rPr>
        <sz val="10"/>
        <color rgb="FF000000"/>
        <rFont val="Noto Sans CJK SC"/>
        <family val="2"/>
      </rPr>
      <t xml:space="preserve">각주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미주</t>
    </r>
  </si>
  <si>
    <t xml:space="preserve">footnotes.xml, endnotes.xml</t>
  </si>
  <si>
    <t xml:space="preserve">parser/docx_context_notes.rs</t>
  </si>
  <si>
    <t xml:space="preserve">F-016</t>
  </si>
  <si>
    <t xml:space="preserve">수식</t>
  </si>
  <si>
    <t xml:space="preserve">OMML (m:oMath)</t>
  </si>
  <si>
    <t xml:space="preserve">parser/omml/{mod,text,unicode}.rs</t>
  </si>
  <si>
    <t xml:space="preserve">F-017</t>
  </si>
  <si>
    <r>
      <rPr>
        <sz val="10"/>
        <color rgb="FF000000"/>
        <rFont val="Noto Sans CJK SC"/>
        <family val="2"/>
      </rPr>
      <t xml:space="preserve">단락 음영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작은 대문자</t>
    </r>
  </si>
  <si>
    <t xml:space="preserve">w:shd, w:smallCaps</t>
  </si>
  <si>
    <t xml:space="preserve">미분류</t>
  </si>
  <si>
    <t xml:space="preserve">parser/docx_context_paragraph_shading.rs, docx_context_small_caps.rs</t>
  </si>
  <si>
    <t xml:space="preserve">F-018</t>
  </si>
  <si>
    <r>
      <rPr>
        <sz val="10"/>
        <color rgb="FF000000"/>
        <rFont val="Noto Sans CJK SC"/>
        <family val="2"/>
      </rPr>
      <t xml:space="preserve">양방향 텍스트</t>
    </r>
    <r>
      <rPr>
        <sz val="10"/>
        <color rgb="FF000000"/>
        <rFont val="Arial"/>
        <family val="0"/>
        <charset val="1"/>
      </rPr>
      <t xml:space="preserve">(RTL)</t>
    </r>
  </si>
  <si>
    <r>
      <rPr>
        <sz val="10"/>
        <color rgb="FF000000"/>
        <rFont val="Arial"/>
        <family val="0"/>
        <charset val="1"/>
      </rPr>
      <t xml:space="preserve">w:bidi, w:rtl, </t>
    </r>
    <r>
      <rPr>
        <sz val="10"/>
        <color rgb="FF000000"/>
        <rFont val="Noto Sans CJK SC"/>
        <family val="2"/>
      </rPr>
      <t xml:space="preserve">표 시각 순서</t>
    </r>
  </si>
  <si>
    <t xml:space="preserve">parser/docx_context_bidi.rs · v0.6.2</t>
  </si>
  <si>
    <t xml:space="preserve">F-019</t>
  </si>
  <si>
    <t xml:space="preserve">이미지 주변 텍스트 배치</t>
  </si>
  <si>
    <t xml:space="preserve">w:wrap (square/tight/through)</t>
  </si>
  <si>
    <t xml:space="preserve">parser/docx_context_wrap.rs</t>
  </si>
  <si>
    <t xml:space="preserve">F-020</t>
  </si>
  <si>
    <t xml:space="preserve">임베드 차트</t>
  </si>
  <si>
    <t xml:space="preserve">c:chart (chart1.xml)</t>
  </si>
  <si>
    <t xml:space="preserve">부분 구현</t>
  </si>
  <si>
    <t xml:space="preserve">parser/docx_context_chart.rs + parser/chart.rs</t>
  </si>
  <si>
    <t xml:space="preserve">F-021</t>
  </si>
  <si>
    <t xml:space="preserve">변경 내용 추적 표시</t>
  </si>
  <si>
    <r>
      <rPr>
        <sz val="10"/>
        <color rgb="FF000000"/>
        <rFont val="Arial"/>
        <family val="0"/>
        <charset val="1"/>
      </rPr>
      <t xml:space="preserve">w:ins, w:del (</t>
    </r>
    <r>
      <rPr>
        <sz val="10"/>
        <color rgb="FF000000"/>
        <rFont val="Noto Sans CJK SC"/>
        <family val="2"/>
      </rPr>
      <t xml:space="preserve">리비전 마크</t>
    </r>
    <r>
      <rPr>
        <sz val="10"/>
        <color rgb="FF000000"/>
        <rFont val="Arial"/>
        <family val="0"/>
        <charset val="1"/>
      </rPr>
      <t xml:space="preserve">)</t>
    </r>
  </si>
  <si>
    <t xml:space="preserve">코드 근거 미확인</t>
  </si>
  <si>
    <r>
      <rPr>
        <sz val="10"/>
        <color rgb="FF000000"/>
        <rFont val="Noto Sans CJK SC"/>
        <family val="2"/>
      </rPr>
      <t xml:space="preserve">픽스처는 존재</t>
    </r>
    <r>
      <rPr>
        <sz val="10"/>
        <color rgb="FF000000"/>
        <rFont val="Arial"/>
        <family val="0"/>
        <charset val="1"/>
      </rPr>
      <t xml:space="preserve">(track changes)</t>
    </r>
    <r>
      <rPr>
        <sz val="10"/>
        <color rgb="FF000000"/>
        <rFont val="Noto Sans CJK SC"/>
        <family val="2"/>
      </rPr>
      <t xml:space="preserve">하나 전용 처리 모듈 미확인</t>
    </r>
  </si>
  <si>
    <t xml:space="preserve">F-022</t>
  </si>
  <si>
    <t xml:space="preserve">슬라이드 → 페이지 매핑</t>
  </si>
  <si>
    <r>
      <rPr>
        <sz val="10"/>
        <color rgb="FF000000"/>
        <rFont val="Arial"/>
        <family val="0"/>
        <charset val="1"/>
      </rPr>
      <t xml:space="preserve">1 slide = 1 page (</t>
    </r>
    <r>
      <rPr>
        <sz val="10"/>
        <color rgb="FF000000"/>
        <rFont val="Noto Sans CJK SC"/>
        <family val="2"/>
      </rPr>
      <t xml:space="preserve">고정 좌표 페이지</t>
    </r>
    <r>
      <rPr>
        <sz val="10"/>
        <color rgb="FF000000"/>
        <rFont val="Arial"/>
        <family val="0"/>
        <charset val="1"/>
      </rPr>
      <t xml:space="preserve">)</t>
    </r>
  </si>
  <si>
    <t xml:space="preserve">ir::Page::Fixed · parser/pptx_slides.rs</t>
  </si>
  <si>
    <t xml:space="preserve">F-023</t>
  </si>
  <si>
    <r>
      <rPr>
        <sz val="10"/>
        <color rgb="FF000000"/>
        <rFont val="Noto Sans CJK SC"/>
        <family val="2"/>
      </rPr>
      <t xml:space="preserve">텍스트 상자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문단 서식</t>
    </r>
  </si>
  <si>
    <t xml:space="preserve">p:sp, a:bodyPr, a:p, autofit</t>
  </si>
  <si>
    <t xml:space="preserve">parser/pptx_text.rs, pptx_shapes.rs · v0.5.0</t>
  </si>
  <si>
    <t xml:space="preserve">F-024</t>
  </si>
  <si>
    <r>
      <rPr>
        <sz val="10"/>
        <color rgb="FF000000"/>
        <rFont val="Noto Sans CJK SC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사용자 정의 도형</t>
    </r>
  </si>
  <si>
    <t xml:space="preserve">a:prstGeom, a:custGeom, homePlate</t>
  </si>
  <si>
    <t xml:space="preserve">parser/pptx_shapes.rs · v0.5.0</t>
  </si>
  <si>
    <t xml:space="preserve">F-025</t>
  </si>
  <si>
    <t xml:space="preserve">커넥터 도형</t>
  </si>
  <si>
    <r>
      <rPr>
        <sz val="10"/>
        <color rgb="FF000000"/>
        <rFont val="Arial"/>
        <family val="0"/>
        <charset val="1"/>
      </rPr>
      <t xml:space="preserve">p:cxnSp, </t>
    </r>
    <r>
      <rPr>
        <sz val="10"/>
        <color rgb="FF000000"/>
        <rFont val="Noto Sans CJK SC"/>
        <family val="2"/>
      </rPr>
      <t xml:space="preserve">화살촉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폴리라인</t>
    </r>
  </si>
  <si>
    <t xml:space="preserve">parser/pptx_shapes.rs · v0.4.0</t>
  </si>
  <si>
    <t xml:space="preserve">F-026</t>
  </si>
  <si>
    <r>
      <rPr>
        <sz val="10"/>
        <color rgb="FF000000"/>
        <rFont val="Noto Sans CJK SC"/>
        <family val="2"/>
      </rPr>
      <t xml:space="preserve">이미지 배치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테두리</t>
    </r>
  </si>
  <si>
    <t xml:space="preserve">p:pic, a:blip, a:ln</t>
  </si>
  <si>
    <t xml:space="preserve">parser/pptx_slides.rs · v0.4.0</t>
  </si>
  <si>
    <t xml:space="preserve">F-027</t>
  </si>
  <si>
    <r>
      <rPr>
        <sz val="10"/>
        <color rgb="FF000000"/>
        <rFont val="Noto Sans CJK SC"/>
        <family val="2"/>
      </rPr>
      <t xml:space="preserve">슬라이드 마스터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레이아웃 상속</t>
    </r>
  </si>
  <si>
    <t xml:space="preserve">slideMaster → slideLayout → slide</t>
  </si>
  <si>
    <t xml:space="preserve">parser/pptx_placeholders.rs, pptx_package.rs</t>
  </si>
  <si>
    <t xml:space="preserve">F-028</t>
  </si>
  <si>
    <r>
      <rPr>
        <sz val="10"/>
        <color rgb="FF000000"/>
        <rFont val="Noto Sans CJK SC"/>
        <family val="2"/>
      </rPr>
      <t xml:space="preserve">테마 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테마 폰트</t>
    </r>
  </si>
  <si>
    <t xml:space="preserve">theme1.xml, a:clrScheme, fillRef/fontRef</t>
  </si>
  <si>
    <t xml:space="preserve">parser/pptx_theme.rs · v0.5.0</t>
  </si>
  <si>
    <t xml:space="preserve">F-029</t>
  </si>
  <si>
    <r>
      <rPr>
        <sz val="10"/>
        <color rgb="FF000000"/>
        <rFont val="Noto Sans CJK SC"/>
        <family val="2"/>
      </rPr>
      <t xml:space="preserve">색 변환 </t>
    </r>
    <r>
      <rPr>
        <sz val="10"/>
        <color rgb="FF000000"/>
        <rFont val="Arial"/>
        <family val="0"/>
        <charset val="1"/>
      </rPr>
      <t xml:space="preserve">(tint/shade)</t>
    </r>
  </si>
  <si>
    <t xml:space="preserve">a:tint, a:shade, a:lumMod</t>
  </si>
  <si>
    <t xml:space="preserve">parser/pptx_theme.rs · v0.4.0</t>
  </si>
  <si>
    <t xml:space="preserve">F-030</t>
  </si>
  <si>
    <r>
      <rPr>
        <sz val="10"/>
        <color rgb="FF000000"/>
        <rFont val="Noto Sans CJK SC"/>
        <family val="2"/>
      </rPr>
      <t xml:space="preserve">배경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단색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그라디언트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이미지</t>
    </r>
    <r>
      <rPr>
        <sz val="10"/>
        <color rgb="FF000000"/>
        <rFont val="Arial"/>
        <family val="0"/>
        <charset val="1"/>
      </rPr>
      <t xml:space="preserve">)</t>
    </r>
  </si>
  <si>
    <t xml:space="preserve">p:bg, a:gradFill, a:blipFill</t>
  </si>
  <si>
    <t xml:space="preserve">parser/pptx_slides.rs · v0.2.0 · v0.6.3</t>
  </si>
  <si>
    <t xml:space="preserve">F-031</t>
  </si>
  <si>
    <t xml:space="preserve">표 및 테마 표 스타일</t>
  </si>
  <si>
    <r>
      <rPr>
        <sz val="10"/>
        <color rgb="FF000000"/>
        <rFont val="Arial"/>
        <family val="0"/>
        <charset val="1"/>
      </rPr>
      <t xml:space="preserve">a:tbl, tableStyles.xml (firstRow </t>
    </r>
    <r>
      <rPr>
        <sz val="10"/>
        <color rgb="FF000000"/>
        <rFont val="Noto Sans CJK SC"/>
        <family val="2"/>
      </rPr>
      <t xml:space="preserve">등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영역</t>
    </r>
    <r>
      <rPr>
        <sz val="10"/>
        <color rgb="FF000000"/>
        <rFont val="Arial"/>
        <family val="0"/>
        <charset val="1"/>
      </rPr>
      <t xml:space="preserve">)</t>
    </r>
  </si>
  <si>
    <t xml:space="preserve">parser/pptx_table_styles.rs, pptx_tables.rs · v0.4.0</t>
  </si>
  <si>
    <t xml:space="preserve">F-032</t>
  </si>
  <si>
    <t xml:space="preserve">그룹 도형 변환</t>
  </si>
  <si>
    <t xml:space="preserve">p:grpSp, a:xfrm chOff/chExt</t>
  </si>
  <si>
    <t xml:space="preserve">F-033</t>
  </si>
  <si>
    <r>
      <rPr>
        <sz val="10"/>
        <color rgb="FF000000"/>
        <rFont val="Noto Sans CJK SC"/>
        <family val="2"/>
      </rPr>
      <t xml:space="preserve">도형 효과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그림자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회전</t>
    </r>
    <r>
      <rPr>
        <sz val="10"/>
        <color rgb="FF000000"/>
        <rFont val="Arial"/>
        <family val="0"/>
        <charset val="1"/>
      </rPr>
      <t xml:space="preserve">)</t>
    </r>
  </si>
  <si>
    <t xml:space="preserve">a:effectLst, a:outerShdw, rot</t>
  </si>
  <si>
    <t xml:space="preserve">parser/pptx_slides.rs · v0.2.0 · v0.6.4 PR #400</t>
  </si>
  <si>
    <t xml:space="preserve">F-034</t>
  </si>
  <si>
    <r>
      <rPr>
        <sz val="10"/>
        <color rgb="FF000000"/>
        <rFont val="Arial"/>
        <family val="0"/>
        <charset val="1"/>
      </rPr>
      <t xml:space="preserve">SmartArt </t>
    </r>
    <r>
      <rPr>
        <sz val="10"/>
        <color rgb="FF000000"/>
        <rFont val="Noto Sans CJK SC"/>
        <family val="2"/>
      </rPr>
      <t xml:space="preserve">다이어그램</t>
    </r>
  </si>
  <si>
    <t xml:space="preserve">dgm:*, diagramData</t>
  </si>
  <si>
    <t xml:space="preserve">parser/smartart.rs, pptx_slides.rs · v0.6.3</t>
  </si>
  <si>
    <t xml:space="preserve">F-035</t>
  </si>
  <si>
    <t xml:space="preserve">c:chart</t>
  </si>
  <si>
    <t xml:space="preserve">parser/chart.rs, pptx_chart_tests.rs · v0.6.3</t>
  </si>
  <si>
    <t xml:space="preserve">F-036</t>
  </si>
  <si>
    <r>
      <rPr>
        <sz val="10"/>
        <color rgb="FF000000"/>
        <rFont val="Arial"/>
        <family val="0"/>
        <charset val="1"/>
      </rPr>
      <t xml:space="preserve">EMF </t>
    </r>
    <r>
      <rPr>
        <sz val="10"/>
        <color rgb="FF000000"/>
        <rFont val="Noto Sans CJK SC"/>
        <family val="2"/>
      </rPr>
      <t xml:space="preserve">이미지 처리</t>
    </r>
  </si>
  <si>
    <r>
      <rPr>
        <sz val="10"/>
        <color rgb="FF000000"/>
        <rFont val="Arial"/>
        <family val="0"/>
        <charset val="1"/>
      </rPr>
      <t xml:space="preserve">EMF </t>
    </r>
    <r>
      <rPr>
        <sz val="10"/>
        <color rgb="FF000000"/>
        <rFont val="Noto Sans CJK SC"/>
        <family val="2"/>
      </rPr>
      <t xml:space="preserve">메타파일 디코드</t>
    </r>
  </si>
  <si>
    <t xml:space="preserve">parser/pptx_emf.rs</t>
  </si>
  <si>
    <t xml:space="preserve">F-037</t>
  </si>
  <si>
    <t xml:space="preserve">발표자 노트</t>
  </si>
  <si>
    <t xml:space="preserve">notesSlide1.xml</t>
  </si>
  <si>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에는 명시되나 </t>
    </r>
    <r>
      <rPr>
        <sz val="10"/>
        <color rgb="FF000000"/>
        <rFont val="Arial"/>
        <family val="0"/>
        <charset val="1"/>
      </rPr>
      <t xml:space="preserve">main </t>
    </r>
    <r>
      <rPr>
        <sz val="10"/>
        <color rgb="FF000000"/>
        <rFont val="Noto Sans CJK SC"/>
        <family val="2"/>
      </rPr>
      <t xml:space="preserve">소스에서 </t>
    </r>
    <r>
      <rPr>
        <sz val="10"/>
        <color rgb="FF000000"/>
        <rFont val="Arial"/>
        <family val="0"/>
        <charset val="1"/>
      </rPr>
      <t xml:space="preserve">notesSlide </t>
    </r>
    <r>
      <rPr>
        <sz val="10"/>
        <color rgb="FF000000"/>
        <rFont val="Noto Sans CJK SC"/>
        <family val="2"/>
      </rPr>
      <t xml:space="preserve">처리 미검출</t>
    </r>
  </si>
  <si>
    <t xml:space="preserve">F-038</t>
  </si>
  <si>
    <r>
      <rPr>
        <sz val="10"/>
        <color rgb="FF000000"/>
        <rFont val="Noto Sans CJK SC"/>
        <family val="2"/>
      </rPr>
      <t xml:space="preserve">애니메이션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화면 전환</t>
    </r>
  </si>
  <si>
    <t xml:space="preserve">p:timing, p:transition</t>
  </si>
  <si>
    <t xml:space="preserve">미지원</t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</si>
  <si>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정적 출력 특성상 대상 외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처리 모듈 없음</t>
    </r>
  </si>
  <si>
    <t xml:space="preserve">F-039</t>
  </si>
  <si>
    <r>
      <rPr>
        <sz val="10"/>
        <color rgb="FF000000"/>
        <rFont val="Noto Sans CJK SC"/>
        <family val="2"/>
      </rPr>
      <t xml:space="preserve">셀 값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문자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날짜</t>
    </r>
    <r>
      <rPr>
        <sz val="10"/>
        <color rgb="FF000000"/>
        <rFont val="Arial"/>
        <family val="0"/>
        <charset val="1"/>
      </rPr>
      <t xml:space="preserve">)</t>
    </r>
  </si>
  <si>
    <t xml:space="preserve">sheetData, c/v, inlineStr, sharedStrings</t>
  </si>
  <si>
    <t xml:space="preserve">parser/xlsx_cells.rs</t>
  </si>
  <si>
    <t xml:space="preserve">F-040</t>
  </si>
  <si>
    <r>
      <rPr>
        <sz val="10"/>
        <color rgb="FF000000"/>
        <rFont val="Noto Sans CJK SC"/>
        <family val="2"/>
      </rPr>
      <t xml:space="preserve">행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열 →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표 변환</t>
    </r>
  </si>
  <si>
    <t xml:space="preserve">ir::Page::Table (TablePage)</t>
  </si>
  <si>
    <t xml:space="preserve">parser/xlsx.rs · render/typst_gen_tables.rs</t>
  </si>
  <si>
    <t xml:space="preserve">F-041</t>
  </si>
  <si>
    <t xml:space="preserve">셀 병합</t>
  </si>
  <si>
    <t xml:space="preserve">mergeCells</t>
  </si>
  <si>
    <t xml:space="preserve">parser/xlsx_cells.rs · README Features</t>
  </si>
  <si>
    <t xml:space="preserve">F-042</t>
  </si>
  <si>
    <r>
      <rPr>
        <sz val="10"/>
        <color rgb="FF000000"/>
        <rFont val="Noto Sans CJK SC"/>
        <family val="2"/>
      </rPr>
      <t xml:space="preserve">셀 서식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폰트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색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테두리</t>
    </r>
    <r>
      <rPr>
        <sz val="10"/>
        <color rgb="FF000000"/>
        <rFont val="Arial"/>
        <family val="0"/>
        <charset val="1"/>
      </rPr>
      <t xml:space="preserve">)</t>
    </r>
  </si>
  <si>
    <t xml:space="preserve">styles.xml, cellXfs, fills, borders</t>
  </si>
  <si>
    <t xml:space="preserve">parser/xlsx_style.rs · v0.6.3</t>
  </si>
  <si>
    <t xml:space="preserve">F-043</t>
  </si>
  <si>
    <r>
      <rPr>
        <sz val="10"/>
        <color rgb="FF000000"/>
        <rFont val="Noto Sans CJK SC"/>
        <family val="2"/>
      </rPr>
      <t xml:space="preserve">열 너비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행 높이</t>
    </r>
  </si>
  <si>
    <t xml:space="preserve">cols/@width, row/@ht</t>
  </si>
  <si>
    <t xml:space="preserve">parser/xlsx_cells.rs · v0.6.4 PR #412</t>
  </si>
  <si>
    <t xml:space="preserve">F-044</t>
  </si>
  <si>
    <t xml:space="preserve">숫자 표시 형식</t>
  </si>
  <si>
    <r>
      <rPr>
        <sz val="10"/>
        <color rgb="FF000000"/>
        <rFont val="Arial"/>
        <family val="0"/>
        <charset val="1"/>
      </rPr>
      <t xml:space="preserve">numFmt (</t>
    </r>
    <r>
      <rPr>
        <sz val="10"/>
        <color rgb="FF000000"/>
        <rFont val="Noto Sans CJK SC"/>
        <family val="2"/>
      </rPr>
      <t xml:space="preserve">통화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백분율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날짜</t>
    </r>
    <r>
      <rPr>
        <sz val="10"/>
        <color rgb="FF000000"/>
        <rFont val="Arial"/>
        <family val="0"/>
        <charset val="1"/>
      </rPr>
      <t xml:space="preserve">)</t>
    </r>
  </si>
  <si>
    <t xml:space="preserve">parser/xlsx_cells.rs · ir/elements.rs (numFmt)</t>
  </si>
  <si>
    <t xml:space="preserve">F-045</t>
  </si>
  <si>
    <t xml:space="preserve">시트 선택 변환</t>
  </si>
  <si>
    <t xml:space="preserve">--sheets / ConvertOptions.sheet_names</t>
  </si>
  <si>
    <t xml:space="preserve">config.rs · CLI --sheets</t>
  </si>
  <si>
    <t xml:space="preserve">F-046</t>
  </si>
  <si>
    <r>
      <rPr>
        <sz val="10"/>
        <color rgb="FF000000"/>
        <rFont val="Noto Sans CJK SC"/>
        <family val="2"/>
      </rPr>
      <t xml:space="preserve">인쇄 영역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인쇄 제목</t>
    </r>
  </si>
  <si>
    <t xml:space="preserve">printArea, printTitles (definedName)</t>
  </si>
  <si>
    <t xml:space="preserve">parser/xlsx_cells.rs, xlsx_pagination.rs · v0.6.3</t>
  </si>
  <si>
    <t xml:space="preserve">F-047</t>
  </si>
  <si>
    <r>
      <rPr>
        <sz val="10"/>
        <color rgb="FF000000"/>
        <rFont val="Noto Sans CJK SC"/>
        <family val="2"/>
      </rPr>
      <t xml:space="preserve">시트 머리글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바닥글</t>
    </r>
  </si>
  <si>
    <t xml:space="preserve">headerFooter (oddHeader/oddFooter)</t>
  </si>
  <si>
    <t xml:space="preserve">parser/xlsx_hf.rs</t>
  </si>
  <si>
    <t xml:space="preserve">F-048</t>
  </si>
  <si>
    <r>
      <rPr>
        <sz val="10"/>
        <color rgb="FF000000"/>
        <rFont val="Noto Sans CJK SC"/>
        <family val="2"/>
      </rPr>
      <t xml:space="preserve">페이지 나눔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인쇄 페이지네이션</t>
    </r>
  </si>
  <si>
    <t xml:space="preserve">브레이크 및 인쇄 행 기하 재현</t>
  </si>
  <si>
    <t xml:space="preserve">parser/xlsx_pagination.rs · v0.6.4 PR #412</t>
  </si>
  <si>
    <t xml:space="preserve">F-049</t>
  </si>
  <si>
    <r>
      <rPr>
        <sz val="10"/>
        <color rgb="FF000000"/>
        <rFont val="Noto Sans CJK SC"/>
        <family val="2"/>
      </rPr>
      <t xml:space="preserve">조건부 서식 — </t>
    </r>
    <r>
      <rPr>
        <sz val="10"/>
        <color rgb="FF000000"/>
        <rFont val="Arial"/>
        <family val="0"/>
        <charset val="1"/>
      </rPr>
      <t xml:space="preserve">DataBar</t>
    </r>
  </si>
  <si>
    <t xml:space="preserve">cfRule@type=dataBar, cfvo</t>
  </si>
  <si>
    <t xml:space="preserve">parser/xlsx_cond_fmt_raw.rs · v0.2.0</t>
  </si>
  <si>
    <t xml:space="preserve">F-050</t>
  </si>
  <si>
    <r>
      <rPr>
        <sz val="10"/>
        <color rgb="FF000000"/>
        <rFont val="Noto Sans CJK SC"/>
        <family val="2"/>
      </rPr>
      <t xml:space="preserve">조건부 서식 — </t>
    </r>
    <r>
      <rPr>
        <sz val="10"/>
        <color rgb="FF000000"/>
        <rFont val="Arial"/>
        <family val="0"/>
        <charset val="1"/>
      </rPr>
      <t xml:space="preserve">IconSet</t>
    </r>
  </si>
  <si>
    <r>
      <rPr>
        <sz val="10"/>
        <color rgb="FF000000"/>
        <rFont val="Arial"/>
        <family val="0"/>
        <charset val="1"/>
      </rPr>
      <t xml:space="preserve">cfRule@type=iconSet, cfvo </t>
    </r>
    <r>
      <rPr>
        <sz val="10"/>
        <color rgb="FF000000"/>
        <rFont val="Noto Sans CJK SC"/>
        <family val="2"/>
      </rPr>
      <t xml:space="preserve">임계값</t>
    </r>
  </si>
  <si>
    <t xml:space="preserve">parser/cond_fmt.rs · v0.6.4 PR #407/#408</t>
  </si>
  <si>
    <t xml:space="preserve">F-051</t>
  </si>
  <si>
    <r>
      <rPr>
        <sz val="10"/>
        <color rgb="FF000000"/>
        <rFont val="Noto Sans CJK SC"/>
        <family val="2"/>
      </rPr>
      <t xml:space="preserve">조건부 서식 — </t>
    </r>
    <r>
      <rPr>
        <sz val="10"/>
        <color rgb="FF000000"/>
        <rFont val="Arial"/>
        <family val="0"/>
        <charset val="1"/>
      </rPr>
      <t xml:space="preserve">ColorScale</t>
    </r>
  </si>
  <si>
    <t xml:space="preserve">cfRule@type=colorScale</t>
  </si>
  <si>
    <r>
      <rPr>
        <sz val="10"/>
        <color rgb="FF000000"/>
        <rFont val="Arial"/>
        <family val="0"/>
        <charset val="1"/>
      </rPr>
      <t xml:space="preserve">parser/cond_fmt.rs (apply_color_scale_rule) · README </t>
    </r>
    <r>
      <rPr>
        <sz val="10"/>
        <color rgb="FF000000"/>
        <rFont val="Noto Sans CJK SC"/>
        <family val="2"/>
      </rPr>
      <t xml:space="preserve">미기재</t>
    </r>
  </si>
  <si>
    <t xml:space="preserve">F-052</t>
  </si>
  <si>
    <r>
      <rPr>
        <sz val="10"/>
        <color rgb="FF000000"/>
        <rFont val="Noto Sans CJK SC"/>
        <family val="2"/>
      </rPr>
      <t xml:space="preserve">조건부 서식 — 셀 값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텍스트 규칙</t>
    </r>
  </si>
  <si>
    <t xml:space="preserve">cellIs, containsText, beginsWith, endsWith</t>
  </si>
  <si>
    <r>
      <rPr>
        <sz val="10"/>
        <color rgb="FF000000"/>
        <rFont val="Arial"/>
        <family val="0"/>
        <charset val="1"/>
      </rPr>
      <t xml:space="preserve">parser/cond_fmt.rs (ConditionalFormatValues </t>
    </r>
    <r>
      <rPr>
        <sz val="10"/>
        <color rgb="FF000000"/>
        <rFont val="Noto Sans CJK SC"/>
        <family val="2"/>
      </rPr>
      <t xml:space="preserve">분기</t>
    </r>
    <r>
      <rPr>
        <sz val="10"/>
        <color rgb="FF000000"/>
        <rFont val="Arial"/>
        <family val="0"/>
        <charset val="1"/>
      </rPr>
      <t xml:space="preserve">) · README </t>
    </r>
    <r>
      <rPr>
        <sz val="10"/>
        <color rgb="FF000000"/>
        <rFont val="Noto Sans CJK SC"/>
        <family val="2"/>
      </rPr>
      <t xml:space="preserve">미기재</t>
    </r>
  </si>
  <si>
    <t xml:space="preserve">F-053</t>
  </si>
  <si>
    <r>
      <rPr>
        <sz val="10"/>
        <color rgb="FF000000"/>
        <rFont val="Noto Sans CJK SC"/>
        <family val="2"/>
      </rPr>
      <t xml:space="preserve">도형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텍스트 상자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이미지</t>
    </r>
  </si>
  <si>
    <r>
      <rPr>
        <sz val="10"/>
        <color rgb="FF000000"/>
        <rFont val="Arial"/>
        <family val="0"/>
        <charset val="1"/>
      </rPr>
      <t xml:space="preserve">xdr:wsDr, TextBox, </t>
    </r>
    <r>
      <rPr>
        <sz val="10"/>
        <color rgb="FF000000"/>
        <rFont val="Noto Sans CJK SC"/>
        <family val="2"/>
      </rPr>
      <t xml:space="preserve">앵커 좌표</t>
    </r>
  </si>
  <si>
    <t xml:space="preserve">parser/xlsx_drawing.rs · v0.6.3</t>
  </si>
  <si>
    <t xml:space="preserve">F-054</t>
  </si>
  <si>
    <r>
      <rPr>
        <sz val="10"/>
        <color rgb="FF000000"/>
        <rFont val="Arial"/>
        <family val="0"/>
        <charset val="1"/>
      </rPr>
      <t xml:space="preserve">c:chart (</t>
    </r>
    <r>
      <rPr>
        <sz val="10"/>
        <color rgb="FF000000"/>
        <rFont val="Noto Sans CJK SC"/>
        <family val="2"/>
      </rPr>
      <t xml:space="preserve">시트 드로잉</t>
    </r>
    <r>
      <rPr>
        <sz val="10"/>
        <color rgb="FF000000"/>
        <rFont val="Arial"/>
        <family val="0"/>
        <charset val="1"/>
      </rPr>
      <t xml:space="preserve">)</t>
    </r>
  </si>
  <si>
    <t xml:space="preserve">parser/chart.rs, xlsx_chart_tests.rs · v0.6.3</t>
  </si>
  <si>
    <t xml:space="preserve">F-055</t>
  </si>
  <si>
    <r>
      <rPr>
        <sz val="10"/>
        <color rgb="FF000000"/>
        <rFont val="Arial"/>
        <family val="0"/>
        <charset val="1"/>
      </rPr>
      <t xml:space="preserve">RTL </t>
    </r>
    <r>
      <rPr>
        <sz val="10"/>
        <color rgb="FF000000"/>
        <rFont val="Noto Sans CJK SC"/>
        <family val="2"/>
      </rPr>
      <t xml:space="preserve">시트</t>
    </r>
  </si>
  <si>
    <t xml:space="preserve">sheetView@rightToLeft</t>
  </si>
  <si>
    <r>
      <rPr>
        <sz val="10"/>
        <color rgb="FF000000"/>
        <rFont val="Arial"/>
        <family val="0"/>
        <charset val="1"/>
      </rPr>
      <t xml:space="preserve">parser/xlsx_cells.rs </t>
    </r>
    <r>
      <rPr>
        <sz val="10"/>
        <color rgb="FF000000"/>
        <rFont val="Noto Sans CJK SC"/>
        <family val="2"/>
      </rPr>
      <t xml:space="preserve">내 </t>
    </r>
    <r>
      <rPr>
        <sz val="10"/>
        <color rgb="FF000000"/>
        <rFont val="Arial"/>
        <family val="0"/>
        <charset val="1"/>
      </rPr>
      <t xml:space="preserve">rtl </t>
    </r>
    <r>
      <rPr>
        <sz val="10"/>
        <color rgb="FF000000"/>
        <rFont val="Noto Sans CJK SC"/>
        <family val="2"/>
      </rPr>
      <t xml:space="preserve">처리 </t>
    </r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픽스처 보유</t>
    </r>
  </si>
  <si>
    <t xml:space="preserve">F-056</t>
  </si>
  <si>
    <t xml:space="preserve">대용량 스트리밍 변환</t>
  </si>
  <si>
    <r>
      <rPr>
        <sz val="10"/>
        <color rgb="FF000000"/>
        <rFont val="Noto Sans CJK SC"/>
        <family val="2"/>
      </rPr>
      <t xml:space="preserve">행 청크 분할 후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병합</t>
    </r>
  </si>
  <si>
    <r>
      <rPr>
        <sz val="10"/>
        <color rgb="FF000000"/>
        <rFont val="Arial"/>
        <family val="0"/>
        <charset val="1"/>
      </rPr>
      <t xml:space="preserve">lib_pipeline.rs + pdf_ops.rs (pdf-ops </t>
    </r>
    <r>
      <rPr>
        <sz val="10"/>
        <color rgb="FF000000"/>
        <rFont val="Noto Sans CJK SC"/>
        <family val="2"/>
      </rPr>
      <t xml:space="preserve">피처</t>
    </r>
    <r>
      <rPr>
        <sz val="10"/>
        <color rgb="FF000000"/>
        <rFont val="Arial"/>
        <family val="0"/>
        <charset val="1"/>
      </rPr>
      <t xml:space="preserve">) · README </t>
    </r>
    <r>
      <rPr>
        <sz val="10"/>
        <color rgb="FF000000"/>
        <rFont val="Noto Sans CJK SC"/>
        <family val="2"/>
      </rPr>
      <t xml:space="preserve">미기재</t>
    </r>
  </si>
  <si>
    <t xml:space="preserve">F-057</t>
  </si>
  <si>
    <t xml:space="preserve">피벗 테이블</t>
  </si>
  <si>
    <t xml:space="preserve">pivotCacheDefinition, pivotTable</t>
  </si>
  <si>
    <r>
      <rPr>
        <sz val="10"/>
        <color rgb="FF000000"/>
        <rFont val="Noto Sans CJK SC"/>
        <family val="2"/>
      </rPr>
      <t xml:space="preserve">픽스처는 존재하나 전용 처리 모듈 없음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값만 렌더</t>
    </r>
    <r>
      <rPr>
        <sz val="10"/>
        <color rgb="FF000000"/>
        <rFont val="Arial"/>
        <family val="0"/>
        <charset val="1"/>
      </rPr>
      <t xml:space="preserve">)</t>
    </r>
  </si>
  <si>
    <t xml:space="preserve">F-058</t>
  </si>
  <si>
    <t xml:space="preserve">공통</t>
  </si>
  <si>
    <r>
      <rPr>
        <sz val="10"/>
        <color rgb="FF000000"/>
        <rFont val="Arial"/>
        <family val="0"/>
        <charset val="1"/>
      </rPr>
      <t xml:space="preserve">PDF/A-2b </t>
    </r>
    <r>
      <rPr>
        <sz val="10"/>
        <color rgb="FF000000"/>
        <rFont val="Noto Sans CJK SC"/>
        <family val="2"/>
      </rPr>
      <t xml:space="preserve">준수 출력</t>
    </r>
  </si>
  <si>
    <t xml:space="preserve">--pdf-a / PdfStandard::PdfA2b</t>
  </si>
  <si>
    <t xml:space="preserve">config.rs, render/pdf.rs</t>
  </si>
  <si>
    <t xml:space="preserve">F-059</t>
  </si>
  <si>
    <r>
      <rPr>
        <sz val="10"/>
        <color rgb="FF000000"/>
        <rFont val="Noto Sans CJK SC"/>
        <family val="2"/>
      </rPr>
      <t xml:space="preserve">태그 </t>
    </r>
    <r>
      <rPr>
        <sz val="10"/>
        <color rgb="FF000000"/>
        <rFont val="Arial"/>
        <family val="0"/>
        <charset val="1"/>
      </rPr>
      <t xml:space="preserve">PDF(</t>
    </r>
    <r>
      <rPr>
        <sz val="10"/>
        <color rgb="FF000000"/>
        <rFont val="Noto Sans CJK SC"/>
        <family val="2"/>
      </rPr>
      <t xml:space="preserve">접근성 구조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</si>
  <si>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H1~H6, P, Table, Figure </t>
    </r>
    <r>
      <rPr>
        <sz val="10"/>
        <color rgb="FF000000"/>
        <rFont val="Noto Sans CJK SC"/>
        <family val="2"/>
      </rPr>
      <t xml:space="preserve">구조 태그</t>
    </r>
  </si>
  <si>
    <r>
      <rPr>
        <sz val="10"/>
        <color rgb="FF000000"/>
        <rFont val="Arial"/>
        <family val="0"/>
        <charset val="1"/>
      </rPr>
      <t xml:space="preserve">config.rs(tagged), render/pdf.rs · README </t>
    </r>
    <r>
      <rPr>
        <sz val="10"/>
        <color rgb="FF000000"/>
        <rFont val="Noto Sans CJK SC"/>
        <family val="2"/>
      </rPr>
      <t xml:space="preserve">미기재</t>
    </r>
  </si>
  <si>
    <t xml:space="preserve">F-060</t>
  </si>
  <si>
    <r>
      <rPr>
        <sz val="10"/>
        <color rgb="FF000000"/>
        <rFont val="Arial"/>
        <family val="0"/>
        <charset val="1"/>
      </rPr>
      <t xml:space="preserve">PDF/UA-1 </t>
    </r>
    <r>
      <rPr>
        <sz val="10"/>
        <color rgb="FF000000"/>
        <rFont val="Noto Sans CJK SC"/>
        <family val="2"/>
      </rPr>
      <t xml:space="preserve">준수 출력</t>
    </r>
  </si>
  <si>
    <r>
      <rPr>
        <sz val="10"/>
        <color rgb="FF000000"/>
        <rFont val="Arial"/>
        <family val="0"/>
        <charset val="1"/>
      </rPr>
      <t xml:space="preserve">--pdf-ua (tagged </t>
    </r>
    <r>
      <rPr>
        <sz val="10"/>
        <color rgb="FF000000"/>
        <rFont val="Noto Sans CJK SC"/>
        <family val="2"/>
      </rPr>
      <t xml:space="preserve">함의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</si>
  <si>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config.rs(pdf_ua), render/pdf.rs · README </t>
    </r>
    <r>
      <rPr>
        <sz val="10"/>
        <color rgb="FF000000"/>
        <rFont val="Noto Sans CJK SC"/>
        <family val="2"/>
      </rPr>
      <t xml:space="preserve">미기재</t>
    </r>
  </si>
  <si>
    <t xml:space="preserve">F-061</t>
  </si>
  <si>
    <r>
      <rPr>
        <sz val="10"/>
        <color rgb="FF000000"/>
        <rFont val="Noto Sans CJK SC"/>
        <family val="2"/>
      </rPr>
      <t xml:space="preserve">임베드 폰트 추출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난독 해제</t>
    </r>
  </si>
  <si>
    <r>
      <rPr>
        <sz val="10"/>
        <color rgb="FF000000"/>
        <rFont val="Arial"/>
        <family val="0"/>
        <charset val="1"/>
      </rPr>
      <t xml:space="preserve">fontTable/embeddedFont, </t>
    </r>
    <r>
      <rPr>
        <sz val="10"/>
        <color rgb="FF000000"/>
        <rFont val="Noto Sans CJK SC"/>
        <family val="2"/>
      </rPr>
      <t xml:space="preserve">폰트 디옵스큐어</t>
    </r>
  </si>
  <si>
    <t xml:space="preserve">parser/embedded_fonts.rs · v0.4.0</t>
  </si>
  <si>
    <t xml:space="preserve">F-062</t>
  </si>
  <si>
    <r>
      <rPr>
        <sz val="10"/>
        <color rgb="FF000000"/>
        <rFont val="Noto Sans CJK SC"/>
        <family val="2"/>
      </rPr>
      <t xml:space="preserve">폰트 대체</t>
    </r>
    <r>
      <rPr>
        <sz val="10"/>
        <color rgb="FF000000"/>
        <rFont val="Arial"/>
        <family val="0"/>
        <charset val="1"/>
      </rPr>
      <t xml:space="preserve">·CJK </t>
    </r>
    <r>
      <rPr>
        <sz val="10"/>
        <color rgb="FF000000"/>
        <rFont val="Noto Sans CJK SC"/>
        <family val="2"/>
      </rPr>
      <t xml:space="preserve">폴백</t>
    </r>
  </si>
  <si>
    <r>
      <rPr>
        <sz val="10"/>
        <color rgb="FF000000"/>
        <rFont val="Noto Sans CJK SC"/>
        <family val="2"/>
      </rPr>
      <t xml:space="preserve">폰트 이름 정규화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로컬 이름 매칭</t>
    </r>
  </si>
  <si>
    <t xml:space="preserve">render/font_subst.rs, font_context.rs · v0.4.0</t>
  </si>
  <si>
    <t xml:space="preserve">F-063</t>
  </si>
  <si>
    <r>
      <rPr>
        <sz val="10"/>
        <color rgb="FF000000"/>
        <rFont val="Arial"/>
        <family val="0"/>
        <charset val="1"/>
      </rPr>
      <t xml:space="preserve">macOS Office </t>
    </r>
    <r>
      <rPr>
        <sz val="10"/>
        <color rgb="FF000000"/>
        <rFont val="Noto Sans CJK SC"/>
        <family val="2"/>
      </rPr>
      <t xml:space="preserve">폰트 자동 탐색</t>
    </r>
  </si>
  <si>
    <r>
      <rPr>
        <sz val="10"/>
        <color rgb="FF000000"/>
        <rFont val="Arial"/>
        <family val="0"/>
        <charset val="1"/>
      </rPr>
      <t xml:space="preserve">Office </t>
    </r>
    <r>
      <rPr>
        <sz val="10"/>
        <color rgb="FF000000"/>
        <rFont val="Noto Sans CJK SC"/>
        <family val="2"/>
      </rPr>
      <t xml:space="preserve">앱 번들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클라우드 폰트 캐시</t>
    </r>
  </si>
  <si>
    <t xml:space="preserve">render/font_context.rs · README · scripts/macos</t>
  </si>
  <si>
    <t xml:space="preserve">F-064</t>
  </si>
  <si>
    <r>
      <rPr>
        <sz val="10"/>
        <color rgb="FF000000"/>
        <rFont val="Arial"/>
        <family val="0"/>
        <charset val="1"/>
      </rPr>
      <t xml:space="preserve">WASM (</t>
    </r>
    <r>
      <rPr>
        <sz val="10"/>
        <color rgb="FF000000"/>
        <rFont val="Noto Sans CJK SC"/>
        <family val="2"/>
      </rPr>
      <t xml:space="preserve">브라우저 </t>
    </r>
    <r>
      <rPr>
        <sz val="10"/>
        <color rgb="FF000000"/>
        <rFont val="Arial"/>
        <family val="0"/>
        <charset val="1"/>
      </rPr>
      <t xml:space="preserve">/ Node.js)</t>
    </r>
  </si>
  <si>
    <r>
      <rPr>
        <sz val="10"/>
        <color rgb="FF000000"/>
        <rFont val="Arial"/>
        <family val="0"/>
        <charset val="1"/>
      </rPr>
      <t xml:space="preserve">wasm-bindgen </t>
    </r>
    <r>
      <rPr>
        <sz val="10"/>
        <color rgb="FF000000"/>
        <rFont val="Noto Sans CJK SC"/>
        <family val="2"/>
      </rPr>
      <t xml:space="preserve">바인딩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함수</t>
    </r>
  </si>
  <si>
    <r>
      <rPr>
        <sz val="10"/>
        <color rgb="FF000000"/>
        <rFont val="Arial"/>
        <family val="0"/>
        <charset val="1"/>
      </rPr>
      <t xml:space="preserve">src/wasm.rs (wasm </t>
    </r>
    <r>
      <rPr>
        <sz val="10"/>
        <color rgb="FF000000"/>
        <rFont val="Noto Sans CJK SC"/>
        <family val="2"/>
      </rPr>
      <t xml:space="preserve">피처</t>
    </r>
    <r>
      <rPr>
        <sz val="10"/>
        <color rgb="FF000000"/>
        <rFont val="Arial"/>
        <family val="0"/>
        <charset val="1"/>
      </rPr>
      <t xml:space="preserve">) · v0.3.0</t>
    </r>
  </si>
  <si>
    <t xml:space="preserve">F-065</t>
  </si>
  <si>
    <t xml:space="preserve">문서 메타데이터 이관</t>
  </si>
  <si>
    <r>
      <rPr>
        <sz val="10"/>
        <color rgb="FF000000"/>
        <rFont val="Arial"/>
        <family val="0"/>
        <charset val="1"/>
      </rPr>
      <t xml:space="preserve">core.xml → PDF Info </t>
    </r>
    <r>
      <rPr>
        <sz val="10"/>
        <color rgb="FF000000"/>
        <rFont val="Noto Sans CJK SC"/>
        <family val="2"/>
      </rPr>
      <t xml:space="preserve">딕셔너리</t>
    </r>
  </si>
  <si>
    <t xml:space="preserve">parser/metadata.rs</t>
  </si>
  <si>
    <t xml:space="preserve">F-066</t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</si>
  <si>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병합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분할</t>
    </r>
  </si>
  <si>
    <r>
      <rPr>
        <sz val="10"/>
        <color rgb="FF000000"/>
        <rFont val="Arial"/>
        <family val="0"/>
        <charset val="1"/>
      </rPr>
      <t xml:space="preserve">merge, split </t>
    </r>
    <r>
      <rPr>
        <sz val="10"/>
        <color rgb="FF000000"/>
        <rFont val="Noto Sans CJK SC"/>
        <family val="2"/>
      </rPr>
      <t xml:space="preserve">서브커맨드 </t>
    </r>
    <r>
      <rPr>
        <sz val="10"/>
        <color rgb="FF000000"/>
        <rFont val="Arial"/>
        <family val="0"/>
        <charset val="1"/>
      </rPr>
      <t xml:space="preserve">(lopdf)</t>
    </r>
  </si>
  <si>
    <r>
      <rPr>
        <sz val="10"/>
        <color rgb="FF000000"/>
        <rFont val="Arial"/>
        <family val="0"/>
        <charset val="1"/>
      </rPr>
      <t xml:space="preserve">pdf_ops.rs (pdf-ops </t>
    </r>
    <r>
      <rPr>
        <sz val="10"/>
        <color rgb="FF000000"/>
        <rFont val="Noto Sans CJK SC"/>
        <family val="2"/>
      </rPr>
      <t xml:space="preserve">피처</t>
    </r>
    <r>
      <rPr>
        <sz val="10"/>
        <color rgb="FF000000"/>
        <rFont val="Arial"/>
        <family val="0"/>
        <charset val="1"/>
      </rPr>
      <t xml:space="preserve">) · CLI </t>
    </r>
    <r>
      <rPr>
        <sz val="10"/>
        <color rgb="FF000000"/>
        <rFont val="Noto Sans CJK SC"/>
        <family val="2"/>
      </rPr>
      <t xml:space="preserve">서브커맨드 </t>
    </r>
    <r>
      <rPr>
        <sz val="10"/>
        <color rgb="FF000000"/>
        <rFont val="Arial"/>
        <family val="0"/>
        <charset val="1"/>
      </rPr>
      <t xml:space="preserve">· README </t>
    </r>
    <r>
      <rPr>
        <sz val="10"/>
        <color rgb="FF000000"/>
        <rFont val="Noto Sans CJK SC"/>
        <family val="2"/>
      </rPr>
      <t xml:space="preserve">미기재</t>
    </r>
  </si>
  <si>
    <t xml:space="preserve">F-067</t>
  </si>
  <si>
    <r>
      <rPr>
        <sz val="10"/>
        <color rgb="FF000000"/>
        <rFont val="Arial"/>
        <family val="0"/>
        <charset val="1"/>
      </rPr>
      <t xml:space="preserve">HTTP </t>
    </r>
    <r>
      <rPr>
        <sz val="10"/>
        <color rgb="FF000000"/>
        <rFont val="Noto Sans CJK SC"/>
        <family val="2"/>
      </rPr>
      <t xml:space="preserve">변환 서버</t>
    </r>
  </si>
  <si>
    <r>
      <rPr>
        <sz val="10"/>
        <color rgb="FF000000"/>
        <rFont val="Arial"/>
        <family val="0"/>
        <charset val="1"/>
      </rPr>
      <t xml:space="preserve">CLI server </t>
    </r>
    <r>
      <rPr>
        <sz val="10"/>
        <color rgb="FF000000"/>
        <rFont val="Noto Sans CJK SC"/>
        <family val="2"/>
      </rPr>
      <t xml:space="preserve">서브커맨드 </t>
    </r>
    <r>
      <rPr>
        <sz val="10"/>
        <color rgb="FF000000"/>
        <rFont val="Arial"/>
        <family val="0"/>
        <charset val="1"/>
      </rPr>
      <t xml:space="preserve">(tiny_http)</t>
    </r>
  </si>
  <si>
    <r>
      <rPr>
        <sz val="10"/>
        <color rgb="FF000000"/>
        <rFont val="Arial"/>
        <family val="0"/>
        <charset val="1"/>
      </rPr>
      <t xml:space="preserve">office2pdf-cli/src/server.rs (server </t>
    </r>
    <r>
      <rPr>
        <sz val="10"/>
        <color rgb="FF000000"/>
        <rFont val="Noto Sans CJK SC"/>
        <family val="2"/>
      </rPr>
      <t xml:space="preserve">피처</t>
    </r>
    <r>
      <rPr>
        <sz val="10"/>
        <color rgb="FF000000"/>
        <rFont val="Arial"/>
        <family val="0"/>
        <charset val="1"/>
      </rPr>
      <t xml:space="preserve">) · README </t>
    </r>
    <r>
      <rPr>
        <sz val="10"/>
        <color rgb="FF000000"/>
        <rFont val="Noto Sans CJK SC"/>
        <family val="2"/>
      </rPr>
      <t xml:space="preserve">미기재</t>
    </r>
  </si>
  <si>
    <r>
      <rPr>
        <b val="true"/>
        <sz val="11"/>
        <color rgb="FF1F3864"/>
        <rFont val="Noto Sans CJK SC"/>
        <family val="2"/>
      </rPr>
      <t xml:space="preserve">요약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필터 적용과 무관한 전체 집계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</si>
  <si>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전체 기능 항목 수</t>
  </si>
  <si>
    <r>
      <rPr>
        <b val="true"/>
        <sz val="10"/>
        <rFont val="Noto Sans CJK SC"/>
        <family val="2"/>
      </rPr>
      <t xml:space="preserve">가중 구현률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상태 가중치 평균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</si>
  <si>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P0 </t>
    </r>
    <r>
      <rPr>
        <b val="true"/>
        <sz val="10"/>
        <rFont val="Noto Sans CJK SC"/>
        <family val="2"/>
      </rPr>
      <t xml:space="preserve">항목 중 구현 완료 비율</t>
    </r>
  </si>
  <si>
    <r>
      <rPr>
        <i val="true"/>
        <sz val="8"/>
        <color rgb="FF7F7F7F"/>
        <rFont val="Arial"/>
        <family val="0"/>
        <charset val="1"/>
      </rPr>
      <t xml:space="preserve">'</t>
    </r>
    <r>
      <rPr>
        <i val="true"/>
        <sz val="8"/>
        <color rgb="FF7F7F7F"/>
        <rFont val="Noto Sans CJK SC"/>
        <family val="2"/>
      </rPr>
      <t xml:space="preserve">코드 근거 미확인</t>
    </r>
    <r>
      <rPr>
        <i val="true"/>
        <sz val="8"/>
        <color rgb="FF7F7F7F"/>
        <rFont val="Arial"/>
        <family val="0"/>
        <charset val="1"/>
      </rPr>
      <t xml:space="preserve">'</t>
    </r>
    <r>
      <rPr>
        <i val="true"/>
        <sz val="8"/>
        <color rgb="FF7F7F7F"/>
        <rFont val="Noto Sans CJK SC"/>
        <family val="2"/>
      </rPr>
      <t xml:space="preserve">은 </t>
    </r>
    <r>
      <rPr>
        <i val="true"/>
        <sz val="8"/>
        <color rgb="FF7F7F7F"/>
        <rFont val="Arial"/>
        <family val="0"/>
        <charset val="1"/>
      </rPr>
      <t xml:space="preserve">README </t>
    </r>
    <r>
      <rPr>
        <i val="true"/>
        <sz val="8"/>
        <color rgb="FF7F7F7F"/>
        <rFont val="Noto Sans CJK SC"/>
        <family val="2"/>
      </rPr>
      <t xml:space="preserve">등 문서에 기재되어 있으나 </t>
    </r>
    <r>
      <rPr>
        <i val="true"/>
        <sz val="8"/>
        <color rgb="FF7F7F7F"/>
        <rFont val="Arial"/>
        <family val="0"/>
        <charset val="1"/>
      </rPr>
      <t xml:space="preserve">main </t>
    </r>
    <r>
      <rPr>
        <i val="true"/>
        <sz val="8"/>
        <color rgb="FF7F7F7F"/>
        <rFont val="Noto Sans CJK SC"/>
        <family val="2"/>
      </rPr>
      <t xml:space="preserve">브랜치 소스에서 해당 처리 모듈을 특정하지 못한 항목입니다</t>
    </r>
    <r>
      <rPr>
        <i val="true"/>
        <sz val="8"/>
        <color rgb="FF7F7F7F"/>
        <rFont val="Arial"/>
        <family val="0"/>
        <charset val="1"/>
      </rPr>
      <t xml:space="preserve">(</t>
    </r>
    <r>
      <rPr>
        <i val="true"/>
        <sz val="8"/>
        <color rgb="FF7F7F7F"/>
        <rFont val="Noto Sans CJK SC"/>
        <family val="2"/>
      </rPr>
      <t xml:space="preserve">미지원 확정이 아님</t>
    </r>
    <r>
      <rPr>
        <i val="true"/>
        <sz val="8"/>
        <color rgb="FF7F7F7F"/>
        <rFont val="Arial"/>
        <family val="0"/>
        <charset val="1"/>
      </rPr>
      <t xml:space="preserve">). 'README </t>
    </r>
    <r>
      <rPr>
        <i val="true"/>
        <sz val="8"/>
        <color rgb="FF7F7F7F"/>
        <rFont val="Noto Sans CJK SC"/>
        <family val="2"/>
      </rPr>
      <t xml:space="preserve">미기재</t>
    </r>
    <r>
      <rPr>
        <i val="true"/>
        <sz val="8"/>
        <color rgb="FF7F7F7F"/>
        <rFont val="Arial"/>
        <family val="0"/>
        <charset val="1"/>
      </rPr>
      <t xml:space="preserve">'</t>
    </r>
    <r>
      <rPr>
        <i val="true"/>
        <sz val="8"/>
        <color rgb="FF7F7F7F"/>
        <rFont val="Noto Sans CJK SC"/>
        <family val="2"/>
      </rPr>
      <t xml:space="preserve">로 표시된 근거는 반대로 소스에는 존재하나 </t>
    </r>
    <r>
      <rPr>
        <i val="true"/>
        <sz val="8"/>
        <color rgb="FF7F7F7F"/>
        <rFont val="Arial"/>
        <family val="0"/>
        <charset val="1"/>
      </rPr>
      <t xml:space="preserve">README Features</t>
    </r>
    <r>
      <rPr>
        <i val="true"/>
        <sz val="8"/>
        <color rgb="FF7F7F7F"/>
        <rFont val="Noto Sans CJK SC"/>
        <family val="2"/>
      </rPr>
      <t xml:space="preserve">에 노출되지 않은 기능입니다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</si>
  <si>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5"/>
        <color rgb="FFFFFFFF"/>
        <rFont val="Arial"/>
        <family val="0"/>
        <charset val="1"/>
      </rPr>
      <t xml:space="preserve">03. CLI </t>
    </r>
    <r>
      <rPr>
        <b val="true"/>
        <sz val="15"/>
        <color rgb="FFFFFFFF"/>
        <rFont val="Noto Sans CJK SC"/>
        <family val="2"/>
      </rPr>
      <t xml:space="preserve">인터페이스 — 전역 플래그 및 서브커맨드</t>
    </r>
  </si>
  <si>
    <r>
      <rPr>
        <i val="true"/>
        <sz val="9"/>
        <color rgb="FF404040"/>
        <rFont val="Noto Sans CJK SC"/>
        <family val="2"/>
      </rPr>
      <t xml:space="preserve">출처</t>
    </r>
    <r>
      <rPr>
        <i val="true"/>
        <sz val="9"/>
        <color rgb="FF404040"/>
        <rFont val="Arial"/>
        <family val="0"/>
        <charset val="1"/>
      </rPr>
      <t xml:space="preserve">: crates/office2pdf-cli/src/main.rs </t>
    </r>
    <r>
      <rPr>
        <i val="true"/>
        <sz val="9"/>
        <color rgb="FF404040"/>
        <rFont val="Noto Sans CJK SC"/>
        <family val="2"/>
      </rPr>
      <t xml:space="preserve">의 </t>
    </r>
    <r>
      <rPr>
        <i val="true"/>
        <sz val="9"/>
        <color rgb="FF404040"/>
        <rFont val="Arial"/>
        <family val="0"/>
        <charset val="1"/>
      </rPr>
      <t xml:space="preserve">clap derive </t>
    </r>
    <r>
      <rPr>
        <i val="true"/>
        <sz val="9"/>
        <color rgb="FF404040"/>
        <rFont val="Noto Sans CJK SC"/>
        <family val="2"/>
      </rPr>
      <t xml:space="preserve">정의 및 </t>
    </r>
    <r>
      <rPr>
        <i val="true"/>
        <sz val="9"/>
        <color rgb="FF404040"/>
        <rFont val="Arial"/>
        <family val="0"/>
        <charset val="1"/>
      </rPr>
      <t xml:space="preserve">README 'CLI Options' </t>
    </r>
    <r>
      <rPr>
        <i val="true"/>
        <sz val="9"/>
        <color rgb="FF404040"/>
        <rFont val="Noto Sans CJK SC"/>
        <family val="2"/>
      </rPr>
      <t xml:space="preserve">표</t>
    </r>
    <r>
      <rPr>
        <i val="true"/>
        <sz val="9"/>
        <color rgb="FF404040"/>
        <rFont val="Arial"/>
        <family val="0"/>
        <charset val="1"/>
      </rPr>
      <t xml:space="preserve">. 'README </t>
    </r>
    <r>
      <rPr>
        <i val="true"/>
        <sz val="9"/>
        <color rgb="FF404040"/>
        <rFont val="Noto Sans CJK SC"/>
        <family val="2"/>
      </rPr>
      <t xml:space="preserve">문서화</t>
    </r>
    <r>
      <rPr>
        <i val="true"/>
        <sz val="9"/>
        <color rgb="FF404040"/>
        <rFont val="Arial"/>
        <family val="0"/>
        <charset val="1"/>
      </rPr>
      <t xml:space="preserve">' </t>
    </r>
    <r>
      <rPr>
        <i val="true"/>
        <sz val="9"/>
        <color rgb="FF404040"/>
        <rFont val="Noto Sans CJK SC"/>
        <family val="2"/>
      </rPr>
      <t xml:space="preserve">열로 문서</t>
    </r>
    <r>
      <rPr>
        <i val="true"/>
        <sz val="9"/>
        <color rgb="FF404040"/>
        <rFont val="Arial"/>
        <family val="0"/>
        <charset val="1"/>
      </rPr>
      <t xml:space="preserve">-</t>
    </r>
    <r>
      <rPr>
        <i val="true"/>
        <sz val="9"/>
        <color rgb="FF404040"/>
        <rFont val="Noto Sans CJK SC"/>
        <family val="2"/>
      </rPr>
      <t xml:space="preserve">구현 격차를 식별할 수 있습니다</t>
    </r>
    <r>
      <rPr>
        <i val="true"/>
        <sz val="9"/>
        <color rgb="FF404040"/>
        <rFont val="Arial"/>
        <family val="0"/>
        <charset val="1"/>
      </rPr>
      <t xml:space="preserve">.</t>
    </r>
  </si>
  <si>
    <t xml:space="preserve">구분</t>
  </si>
  <si>
    <r>
      <rPr>
        <b val="true"/>
        <sz val="10"/>
        <color rgb="FFFFFFFF"/>
        <rFont val="Noto Sans CJK SC"/>
        <family val="2"/>
      </rPr>
      <t xml:space="preserve">플래그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커맨드</t>
    </r>
  </si>
  <si>
    <t xml:space="preserve">축약</t>
  </si>
  <si>
    <t xml:space="preserve">값 형식</t>
  </si>
  <si>
    <t xml:space="preserve">기본값</t>
  </si>
  <si>
    <t xml:space="preserve">적용 포맷</t>
  </si>
  <si>
    <t xml:space="preserve">설명</t>
  </si>
  <si>
    <r>
      <rPr>
        <b val="true"/>
        <sz val="10"/>
        <color rgb="FFFFFFFF"/>
        <rFont val="Arial"/>
        <family val="0"/>
        <charset val="1"/>
      </rPr>
      <t xml:space="preserve">README </t>
    </r>
    <r>
      <rPr>
        <b val="true"/>
        <sz val="10"/>
        <color rgb="FFFFFFFF"/>
        <rFont val="Noto Sans CJK SC"/>
        <family val="2"/>
      </rPr>
      <t xml:space="preserve">문서화</t>
    </r>
  </si>
  <si>
    <t xml:space="preserve">비고</t>
  </si>
  <si>
    <t xml:space="preserve">전역 인자</t>
  </si>
  <si>
    <t xml:space="preserve">&lt;INPUTS&gt;...</t>
  </si>
  <si>
    <t xml:space="preserve">-</t>
  </si>
  <si>
    <t xml:space="preserve">경로 목록</t>
  </si>
  <si>
    <t xml:space="preserve">필수</t>
  </si>
  <si>
    <t xml:space="preserve">전체</t>
  </si>
  <si>
    <r>
      <rPr>
        <sz val="10"/>
        <color rgb="FF000000"/>
        <rFont val="Noto Sans CJK SC"/>
        <family val="2"/>
      </rPr>
      <t xml:space="preserve">변환할 입력 파일 경로</t>
    </r>
    <r>
      <rPr>
        <sz val="10"/>
        <color rgb="FF000000"/>
        <rFont val="Arial"/>
        <family val="0"/>
        <charset val="1"/>
      </rPr>
      <t xml:space="preserve">(.docx/.xlsx/.pptx). </t>
    </r>
    <r>
      <rPr>
        <sz val="10"/>
        <color rgb="FF000000"/>
        <rFont val="Noto Sans CJK SC"/>
        <family val="2"/>
      </rPr>
      <t xml:space="preserve">글롭 확장으로 일괄 변환 가능</t>
    </r>
  </si>
  <si>
    <t xml:space="preserve">기재</t>
  </si>
  <si>
    <t xml:space="preserve">required = true</t>
  </si>
  <si>
    <t xml:space="preserve">전역 플래그</t>
  </si>
  <si>
    <t xml:space="preserve">--output</t>
  </si>
  <si>
    <t xml:space="preserve">-o</t>
  </si>
  <si>
    <t xml:space="preserve">PATH</t>
  </si>
  <si>
    <r>
      <rPr>
        <sz val="10"/>
        <color rgb="FF000000"/>
        <rFont val="Noto Sans CJK SC"/>
        <family val="2"/>
      </rPr>
      <t xml:space="preserve">입력 파일명</t>
    </r>
    <r>
      <rPr>
        <sz val="10"/>
        <color rgb="FF000000"/>
        <rFont val="Arial"/>
        <family val="0"/>
        <charset val="1"/>
      </rPr>
      <t xml:space="preserve">.pdf</t>
    </r>
  </si>
  <si>
    <r>
      <rPr>
        <sz val="10"/>
        <color rgb="FF000000"/>
        <rFont val="Noto Sans CJK SC"/>
        <family val="2"/>
      </rPr>
      <t xml:space="preserve">출력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경로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단일 입력에만 유효</t>
    </r>
  </si>
  <si>
    <r>
      <rPr>
        <sz val="10"/>
        <color rgb="FF000000"/>
        <rFont val="Arial"/>
        <family val="0"/>
        <charset val="1"/>
      </rPr>
      <t xml:space="preserve">--outdir</t>
    </r>
    <r>
      <rPr>
        <sz val="10"/>
        <color rgb="FF000000"/>
        <rFont val="Noto Sans CJK SC"/>
        <family val="2"/>
      </rPr>
      <t xml:space="preserve">와 상호 배타</t>
    </r>
  </si>
  <si>
    <t xml:space="preserve">--outdir</t>
  </si>
  <si>
    <t xml:space="preserve">DIR</t>
  </si>
  <si>
    <t xml:space="preserve">입력 파일과 동일 위치</t>
  </si>
  <si>
    <t xml:space="preserve">일괄 변환 결과를 저장할 출력 디렉터리</t>
  </si>
  <si>
    <t xml:space="preserve">conflicts_with = output</t>
  </si>
  <si>
    <t xml:space="preserve">--paper</t>
  </si>
  <si>
    <t xml:space="preserve">a4 | letter | legal</t>
  </si>
  <si>
    <t xml:space="preserve">원본 문서 크기</t>
  </si>
  <si>
    <t xml:space="preserve">출력 용지 크기 강제 지정</t>
  </si>
  <si>
    <r>
      <rPr>
        <sz val="10"/>
        <color rgb="FF000000"/>
        <rFont val="Arial"/>
        <family val="0"/>
        <charset val="1"/>
      </rPr>
      <t xml:space="preserve">PaperSize::parse (</t>
    </r>
    <r>
      <rPr>
        <sz val="10"/>
        <color rgb="FF000000"/>
        <rFont val="Noto Sans CJK SC"/>
        <family val="2"/>
      </rPr>
      <t xml:space="preserve">대소문자 무시</t>
    </r>
    <r>
      <rPr>
        <sz val="10"/>
        <color rgb="FF000000"/>
        <rFont val="Arial"/>
        <family val="0"/>
        <charset val="1"/>
      </rPr>
      <t xml:space="preserve">)</t>
    </r>
  </si>
  <si>
    <t xml:space="preserve">--landscape</t>
  </si>
  <si>
    <t xml:space="preserve">플래그</t>
  </si>
  <si>
    <t xml:space="preserve">원본 방향 유지</t>
  </si>
  <si>
    <r>
      <rPr>
        <sz val="10"/>
        <color rgb="FF000000"/>
        <rFont val="Noto Sans CJK SC"/>
        <family val="2"/>
      </rPr>
      <t xml:space="preserve">가로 방향 강제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너비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높이로 치수 교환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</si>
  <si>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Option&lt;bool&gt; 3</t>
    </r>
    <r>
      <rPr>
        <sz val="10"/>
        <color rgb="FF000000"/>
        <rFont val="Noto Sans CJK SC"/>
        <family val="2"/>
      </rPr>
      <t xml:space="preserve">상태</t>
    </r>
  </si>
  <si>
    <t xml:space="preserve">--pdf-a</t>
  </si>
  <si>
    <t xml:space="preserve">PDF 1.7</t>
  </si>
  <si>
    <r>
      <rPr>
        <sz val="10"/>
        <color rgb="FF000000"/>
        <rFont val="Arial"/>
        <family val="0"/>
        <charset val="1"/>
      </rPr>
      <t xml:space="preserve">PDF/A-2b </t>
    </r>
    <r>
      <rPr>
        <sz val="10"/>
        <color rgb="FF000000"/>
        <rFont val="Noto Sans CJK SC"/>
        <family val="2"/>
      </rPr>
      <t xml:space="preserve">보존용 준수 출력</t>
    </r>
  </si>
  <si>
    <t xml:space="preserve">PdfStandard::PdfA2b</t>
  </si>
  <si>
    <t xml:space="preserve">--sheets</t>
  </si>
  <si>
    <r>
      <rPr>
        <sz val="10"/>
        <color rgb="FF000000"/>
        <rFont val="Noto Sans CJK SC"/>
        <family val="2"/>
      </rPr>
      <t xml:space="preserve">이름 목록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콤마</t>
    </r>
    <r>
      <rPr>
        <sz val="10"/>
        <color rgb="FF000000"/>
        <rFont val="Arial"/>
        <family val="0"/>
        <charset val="1"/>
      </rPr>
      <t xml:space="preserve">)</t>
    </r>
  </si>
  <si>
    <t xml:space="preserve">전체 시트</t>
  </si>
  <si>
    <t xml:space="preserve">변환 대상 시트 이름 필터</t>
  </si>
  <si>
    <t xml:space="preserve">value_delimiter = ','</t>
  </si>
  <si>
    <t xml:space="preserve">--slides</t>
  </si>
  <si>
    <r>
      <rPr>
        <sz val="10"/>
        <color rgb="FF000000"/>
        <rFont val="Noto Sans CJK SC"/>
        <family val="2"/>
      </rPr>
      <t xml:space="preserve">범위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1-5, 3)</t>
    </r>
  </si>
  <si>
    <t xml:space="preserve">전체 슬라이드</t>
  </si>
  <si>
    <r>
      <rPr>
        <sz val="10"/>
        <color rgb="FF000000"/>
        <rFont val="Noto Sans CJK SC"/>
        <family val="2"/>
      </rPr>
      <t xml:space="preserve">변환 대상 슬라이드 범위</t>
    </r>
    <r>
      <rPr>
        <sz val="10"/>
        <color rgb="FF000000"/>
        <rFont val="Arial"/>
        <family val="0"/>
        <charset val="1"/>
      </rPr>
      <t xml:space="preserve">(1-</t>
    </r>
    <r>
      <rPr>
        <sz val="10"/>
        <color rgb="FF000000"/>
        <rFont val="Noto Sans CJK SC"/>
        <family val="2"/>
      </rPr>
      <t xml:space="preserve">기반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양끝 포함</t>
    </r>
    <r>
      <rPr>
        <sz val="10"/>
        <color rgb="FF000000"/>
        <rFont val="Arial"/>
        <family val="0"/>
        <charset val="1"/>
      </rPr>
      <t xml:space="preserve">)</t>
    </r>
  </si>
  <si>
    <t xml:space="preserve">SlideRange::parse</t>
  </si>
  <si>
    <t xml:space="preserve">--font-path</t>
  </si>
  <si>
    <r>
      <rPr>
        <sz val="10"/>
        <color rgb="FF000000"/>
        <rFont val="Arial"/>
        <family val="0"/>
        <charset val="1"/>
      </rPr>
      <t xml:space="preserve">DIR (</t>
    </r>
    <r>
      <rPr>
        <sz val="10"/>
        <color rgb="FF000000"/>
        <rFont val="Noto Sans CJK SC"/>
        <family val="2"/>
      </rPr>
      <t xml:space="preserve">반복 가능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</si>
  <si>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시스템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내장 폰트</t>
    </r>
  </si>
  <si>
    <t xml:space="preserve">추가 폰트 탐색 디렉터리</t>
  </si>
  <si>
    <r>
      <rPr>
        <sz val="10"/>
        <color rgb="FF000000"/>
        <rFont val="Arial"/>
        <family val="0"/>
        <charset val="1"/>
      </rPr>
      <t xml:space="preserve">macOS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Office </t>
    </r>
    <r>
      <rPr>
        <sz val="10"/>
        <color rgb="FF000000"/>
        <rFont val="Noto Sans CJK SC"/>
        <family val="2"/>
      </rPr>
      <t xml:space="preserve">폰트 자동 탐색이 선행</t>
    </r>
  </si>
  <si>
    <t xml:space="preserve">--tagged</t>
  </si>
  <si>
    <t xml:space="preserve">false</t>
  </si>
  <si>
    <r>
      <rPr>
        <sz val="10"/>
        <color rgb="FF000000"/>
        <rFont val="Noto Sans CJK SC"/>
        <family val="2"/>
      </rPr>
      <t xml:space="preserve">접근성 구조 태그</t>
    </r>
    <r>
      <rPr>
        <sz val="10"/>
        <color rgb="FF000000"/>
        <rFont val="Arial"/>
        <family val="0"/>
        <charset val="1"/>
      </rPr>
      <t xml:space="preserve">(H1~H6, P, Table, Figure) </t>
    </r>
    <r>
      <rPr>
        <sz val="10"/>
        <color rgb="FF000000"/>
        <rFont val="Noto Sans CJK SC"/>
        <family val="2"/>
      </rPr>
      <t xml:space="preserve">포함 태그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생성</t>
    </r>
  </si>
  <si>
    <t xml:space="preserve">미기재</t>
  </si>
  <si>
    <r>
      <rPr>
        <sz val="10"/>
        <color rgb="FF000000"/>
        <rFont val="Arial"/>
        <family val="0"/>
        <charset val="1"/>
      </rPr>
      <t xml:space="preserve">README CLI Options </t>
    </r>
    <r>
      <rPr>
        <sz val="10"/>
        <color rgb="FF000000"/>
        <rFont val="Noto Sans CJK SC"/>
        <family val="2"/>
      </rPr>
      <t xml:space="preserve">표에 없음</t>
    </r>
  </si>
  <si>
    <t xml:space="preserve">--pdf-ua</t>
  </si>
  <si>
    <r>
      <rPr>
        <sz val="10"/>
        <color rgb="FF000000"/>
        <rFont val="Arial"/>
        <family val="0"/>
        <charset val="1"/>
      </rPr>
      <t xml:space="preserve">PDF/UA-1 </t>
    </r>
    <r>
      <rPr>
        <sz val="10"/>
        <color rgb="FF000000"/>
        <rFont val="Noto Sans CJK SC"/>
        <family val="2"/>
      </rPr>
      <t xml:space="preserve">보편적 접근성 준수 출력</t>
    </r>
    <r>
      <rPr>
        <sz val="10"/>
        <color rgb="FF000000"/>
        <rFont val="Arial"/>
        <family val="0"/>
        <charset val="1"/>
      </rPr>
      <t xml:space="preserve">(--tagged </t>
    </r>
    <r>
      <rPr>
        <sz val="10"/>
        <color rgb="FF000000"/>
        <rFont val="Noto Sans CJK SC"/>
        <family val="2"/>
      </rPr>
      <t xml:space="preserve">함의</t>
    </r>
    <r>
      <rPr>
        <sz val="10"/>
        <color rgb="FF000000"/>
        <rFont val="Arial"/>
        <family val="0"/>
        <charset val="1"/>
      </rPr>
      <t xml:space="preserve">)</t>
    </r>
  </si>
  <si>
    <t xml:space="preserve">--streaming</t>
  </si>
  <si>
    <t xml:space="preserve">대용량 파일을 행 청크 단위로 처리해 메모리 사용 상한 유지</t>
  </si>
  <si>
    <r>
      <rPr>
        <sz val="10"/>
        <color rgb="FF000000"/>
        <rFont val="Arial"/>
        <family val="0"/>
        <charset val="1"/>
      </rPr>
      <t xml:space="preserve">pdf-ops </t>
    </r>
    <r>
      <rPr>
        <sz val="10"/>
        <color rgb="FF000000"/>
        <rFont val="Noto Sans CJK SC"/>
        <family val="2"/>
      </rPr>
      <t xml:space="preserve">피처의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병합 필요</t>
    </r>
  </si>
  <si>
    <t xml:space="preserve">--streaming-chunk-size</t>
  </si>
  <si>
    <t xml:space="preserve">행 수</t>
  </si>
  <si>
    <t xml:space="preserve">1000</t>
  </si>
  <si>
    <r>
      <rPr>
        <sz val="10"/>
        <color rgb="FF000000"/>
        <rFont val="Noto Sans CJK SC"/>
        <family val="2"/>
      </rPr>
      <t xml:space="preserve">스트리밍 모드 청크 크기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</si>
  <si>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--streaming </t>
    </r>
    <r>
      <rPr>
        <sz val="10"/>
        <color rgb="FF000000"/>
        <rFont val="Noto Sans CJK SC"/>
        <family val="2"/>
      </rPr>
      <t xml:space="preserve">활성 시에만 사용</t>
    </r>
  </si>
  <si>
    <t xml:space="preserve">--metrics</t>
  </si>
  <si>
    <r>
      <rPr>
        <sz val="10"/>
        <color rgb="FF000000"/>
        <rFont val="Noto Sans CJK SC"/>
        <family val="2"/>
      </rPr>
      <t xml:space="preserve">단계별 소요 시간 지표를 </t>
    </r>
    <r>
      <rPr>
        <sz val="10"/>
        <color rgb="FF000000"/>
        <rFont val="Arial"/>
        <family val="0"/>
        <charset val="1"/>
      </rPr>
      <t xml:space="preserve">stderr</t>
    </r>
    <r>
      <rPr>
        <sz val="10"/>
        <color rgb="FF000000"/>
        <rFont val="Noto Sans CJK SC"/>
        <family val="2"/>
      </rPr>
      <t xml:space="preserve">로 출력</t>
    </r>
  </si>
  <si>
    <t xml:space="preserve">office2pdf-cli/src/metrics.rs</t>
  </si>
  <si>
    <t xml:space="preserve">--jobs</t>
  </si>
  <si>
    <t xml:space="preserve">-j</t>
  </si>
  <si>
    <t xml:space="preserve">정수</t>
  </si>
  <si>
    <r>
      <rPr>
        <sz val="10"/>
        <color rgb="FF000000"/>
        <rFont val="Arial"/>
        <family val="0"/>
        <charset val="1"/>
      </rPr>
      <t xml:space="preserve">0 (=CPU </t>
    </r>
    <r>
      <rPr>
        <sz val="10"/>
        <color rgb="FF000000"/>
        <rFont val="Noto Sans CJK SC"/>
        <family val="2"/>
      </rPr>
      <t xml:space="preserve">코어 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</si>
  <si>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병렬 변환 작업 수</t>
    </r>
    <r>
      <rPr>
        <sz val="10"/>
        <color rgb="FF000000"/>
        <rFont val="Arial"/>
        <family val="0"/>
        <charset val="1"/>
      </rPr>
      <t xml:space="preserve">(rayon </t>
    </r>
    <r>
      <rPr>
        <sz val="10"/>
        <color rgb="FF000000"/>
        <rFont val="Noto Sans CJK SC"/>
        <family val="2"/>
      </rPr>
      <t xml:space="preserve">스레드 풀</t>
    </r>
    <r>
      <rPr>
        <sz val="10"/>
        <color rgb="FF000000"/>
        <rFont val="Arial"/>
        <family val="0"/>
        <charset val="1"/>
      </rPr>
      <t xml:space="preserve">)</t>
    </r>
  </si>
  <si>
    <t xml:space="preserve">다중 입력에서만 병렬화</t>
  </si>
  <si>
    <t xml:space="preserve">서브커맨드</t>
  </si>
  <si>
    <t xml:space="preserve">merge</t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</si>
  <si>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파일 목록</t>
    </r>
  </si>
  <si>
    <t xml:space="preserve">-o merged.pdf</t>
  </si>
  <si>
    <t xml:space="preserve">PDF</t>
  </si>
  <si>
    <r>
      <rPr>
        <sz val="10"/>
        <color rgb="FF000000"/>
        <rFont val="Noto Sans CJK SC"/>
        <family val="2"/>
      </rPr>
      <t xml:space="preserve">여러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파일을 하나로 병합</t>
    </r>
  </si>
  <si>
    <r>
      <rPr>
        <sz val="10"/>
        <color rgb="FF000000"/>
        <rFont val="Arial"/>
        <family val="0"/>
        <charset val="1"/>
      </rPr>
      <t xml:space="preserve">lopdf (pdf-ops </t>
    </r>
    <r>
      <rPr>
        <sz val="10"/>
        <color rgb="FF000000"/>
        <rFont val="Noto Sans CJK SC"/>
        <family val="2"/>
      </rPr>
      <t xml:space="preserve">피처</t>
    </r>
    <r>
      <rPr>
        <sz val="10"/>
        <color rgb="FF000000"/>
        <rFont val="Arial"/>
        <family val="0"/>
        <charset val="1"/>
      </rPr>
      <t xml:space="preserve">)</t>
    </r>
  </si>
  <si>
    <t xml:space="preserve">split</t>
  </si>
  <si>
    <t xml:space="preserve">--ranges "1-5,10-15"</t>
  </si>
  <si>
    <t xml:space="preserve">--outdir .</t>
  </si>
  <si>
    <r>
      <rPr>
        <sz val="10"/>
        <color rgb="FF000000"/>
        <rFont val="Noto Sans CJK SC"/>
        <family val="2"/>
      </rPr>
      <t xml:space="preserve">페이지 범위 기준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분할</t>
    </r>
  </si>
  <si>
    <t xml:space="preserve">server</t>
  </si>
  <si>
    <t xml:space="preserve">--host / --port</t>
  </si>
  <si>
    <t xml:space="preserve">127.0.0.1 : 3000</t>
  </si>
  <si>
    <r>
      <rPr>
        <sz val="10"/>
        <color rgb="FF000000"/>
        <rFont val="Noto Sans CJK SC"/>
        <family val="2"/>
      </rPr>
      <t xml:space="preserve">문서 변환용 </t>
    </r>
    <r>
      <rPr>
        <sz val="10"/>
        <color rgb="FF000000"/>
        <rFont val="Arial"/>
        <family val="0"/>
        <charset val="1"/>
      </rPr>
      <t xml:space="preserve">HTTP </t>
    </r>
    <r>
      <rPr>
        <sz val="10"/>
        <color rgb="FF000000"/>
        <rFont val="Noto Sans CJK SC"/>
        <family val="2"/>
      </rPr>
      <t xml:space="preserve">서버 기동</t>
    </r>
  </si>
  <si>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피처</t>
    </r>
    <r>
      <rPr>
        <sz val="10"/>
        <color rgb="FF000000"/>
        <rFont val="Arial"/>
        <family val="0"/>
        <charset val="1"/>
      </rPr>
      <t xml:space="preserve">(tiny_http) </t>
    </r>
    <r>
      <rPr>
        <sz val="10"/>
        <color rgb="FF000000"/>
        <rFont val="Noto Sans CJK SC"/>
        <family val="2"/>
      </rPr>
      <t xml:space="preserve">필요</t>
    </r>
  </si>
  <si>
    <t xml:space="preserve">정보 플래그</t>
  </si>
  <si>
    <t xml:space="preserve">--version / --help</t>
  </si>
  <si>
    <t xml:space="preserve">-V / -h</t>
  </si>
  <si>
    <t xml:space="preserve">버전 및 사용법 출력</t>
  </si>
  <si>
    <r>
      <rPr>
        <sz val="10"/>
        <color rgb="FF000000"/>
        <rFont val="Noto Sans CJK SC"/>
        <family val="2"/>
      </rPr>
      <t xml:space="preserve">기재</t>
    </r>
    <r>
      <rPr>
        <sz val="10"/>
        <color rgb="FF000000"/>
        <rFont val="Arial"/>
        <family val="0"/>
        <charset val="1"/>
      </rPr>
      <t xml:space="preserve">(PRD)</t>
    </r>
  </si>
  <si>
    <r>
      <rPr>
        <sz val="10"/>
        <color rgb="FF000000"/>
        <rFont val="Arial"/>
        <family val="0"/>
        <charset val="1"/>
      </rPr>
      <t xml:space="preserve">clap </t>
    </r>
    <r>
      <rPr>
        <sz val="10"/>
        <color rgb="FF000000"/>
        <rFont val="Noto Sans CJK SC"/>
        <family val="2"/>
      </rPr>
      <t xml:space="preserve">기본 제공</t>
    </r>
  </si>
  <si>
    <r>
      <rPr>
        <b val="true"/>
        <sz val="10"/>
        <rFont val="Arial"/>
        <family val="0"/>
        <charset val="1"/>
      </rPr>
      <t xml:space="preserve">README </t>
    </r>
    <r>
      <rPr>
        <b val="true"/>
        <sz val="10"/>
        <rFont val="Noto Sans CJK SC"/>
        <family val="2"/>
      </rPr>
      <t xml:space="preserve">미기재 항목 수</t>
    </r>
  </si>
  <si>
    <r>
      <rPr>
        <i val="true"/>
        <sz val="9"/>
        <color rgb="FF7F7F7F"/>
        <rFont val="Arial"/>
        <family val="0"/>
        <charset val="1"/>
      </rPr>
      <t xml:space="preserve">← README 'CLI Options' </t>
    </r>
    <r>
      <rPr>
        <i val="true"/>
        <sz val="9"/>
        <color rgb="FF7F7F7F"/>
        <rFont val="Noto Sans CJK SC"/>
        <family val="2"/>
      </rPr>
      <t xml:space="preserve">표에 노출되지 않은 구현 완료 항목 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전역 플래그 </t>
    </r>
    <r>
      <rPr>
        <i val="true"/>
        <sz val="9"/>
        <color rgb="FF7F7F7F"/>
        <rFont val="Arial"/>
        <family val="0"/>
        <charset val="1"/>
      </rPr>
      <t xml:space="preserve">6</t>
    </r>
    <r>
      <rPr>
        <i val="true"/>
        <sz val="9"/>
        <color rgb="FF7F7F7F"/>
        <rFont val="Noto Sans CJK SC"/>
        <family val="2"/>
      </rPr>
      <t xml:space="preserve">건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서브커맨드 </t>
    </r>
    <r>
      <rPr>
        <i val="true"/>
        <sz val="9"/>
        <color rgb="FF7F7F7F"/>
        <rFont val="Arial"/>
        <family val="0"/>
        <charset val="1"/>
      </rPr>
      <t xml:space="preserve">3</t>
    </r>
    <r>
      <rPr>
        <i val="true"/>
        <sz val="9"/>
        <color rgb="FF7F7F7F"/>
        <rFont val="Noto Sans CJK SC"/>
        <family val="2"/>
      </rPr>
      <t xml:space="preserve">건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문서 갱신 후보</t>
    </r>
    <r>
      <rPr>
        <i val="true"/>
        <sz val="9"/>
        <color rgb="FF7F7F7F"/>
        <rFont val="Arial"/>
        <family val="0"/>
        <charset val="1"/>
      </rPr>
      <t xml:space="preserve">)</t>
    </r>
  </si>
  <si>
    <r>
      <rPr>
        <b val="true"/>
        <sz val="15"/>
        <color rgb="FFFFFFFF"/>
        <rFont val="Arial"/>
        <family val="0"/>
        <charset val="1"/>
      </rPr>
      <t xml:space="preserve">04. </t>
    </r>
    <r>
      <rPr>
        <b val="true"/>
        <sz val="15"/>
        <color rgb="FFFFFFFF"/>
        <rFont val="Noto Sans CJK SC"/>
        <family val="2"/>
      </rPr>
      <t xml:space="preserve">라이브러리 공개 </t>
    </r>
    <r>
      <rPr>
        <b val="true"/>
        <sz val="15"/>
        <color rgb="FFFFFFFF"/>
        <rFont val="Arial"/>
        <family val="0"/>
        <charset val="1"/>
      </rPr>
      <t xml:space="preserve">API · </t>
    </r>
    <r>
      <rPr>
        <b val="true"/>
        <sz val="15"/>
        <color rgb="FFFFFFFF"/>
        <rFont val="Noto Sans CJK SC"/>
        <family val="2"/>
      </rPr>
      <t xml:space="preserve">설정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오류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피처</t>
    </r>
  </si>
  <si>
    <r>
      <rPr>
        <i val="true"/>
        <sz val="9"/>
        <color rgb="FF404040"/>
        <rFont val="Noto Sans CJK SC"/>
        <family val="2"/>
      </rPr>
      <t xml:space="preserve">출처</t>
    </r>
    <r>
      <rPr>
        <i val="true"/>
        <sz val="9"/>
        <color rgb="FF404040"/>
        <rFont val="Arial"/>
        <family val="0"/>
        <charset val="1"/>
      </rPr>
      <t xml:space="preserve">: crates/office2pdf/src/{lib.rs, config.rs, error.rs, wasm.rs}, Cargo.toml [features], README Quick Start.</t>
    </r>
  </si>
  <si>
    <r>
      <rPr>
        <b val="true"/>
        <sz val="11"/>
        <color rgb="FF1F3864"/>
        <rFont val="Arial"/>
        <family val="0"/>
        <charset val="1"/>
      </rPr>
      <t xml:space="preserve">1. Rust </t>
    </r>
    <r>
      <rPr>
        <b val="true"/>
        <sz val="11"/>
        <color rgb="FF1F3864"/>
        <rFont val="Noto Sans CJK SC"/>
        <family val="2"/>
      </rPr>
      <t xml:space="preserve">공개 함수 </t>
    </r>
    <r>
      <rPr>
        <b val="true"/>
        <sz val="11"/>
        <color rgb="FF1F3864"/>
        <rFont val="Arial"/>
        <family val="0"/>
        <charset val="1"/>
      </rPr>
      <t xml:space="preserve">(crate root)</t>
    </r>
  </si>
  <si>
    <t xml:space="preserve">시그니처</t>
  </si>
  <si>
    <t xml:space="preserve">반환</t>
  </si>
  <si>
    <t xml:space="preserve">입력</t>
  </si>
  <si>
    <t xml:space="preserve">office2pdf::convert(path)</t>
  </si>
  <si>
    <t xml:space="preserve">Result&lt;ConvertResult&gt;</t>
  </si>
  <si>
    <t xml:space="preserve">파일 경로</t>
  </si>
  <si>
    <t xml:space="preserve">확장자로 포맷을 판별해 기본 옵션으로 변환하는 원라이너</t>
  </si>
  <si>
    <t xml:space="preserve">office2pdf::convert_with_options(path, &amp;opts)</t>
  </si>
  <si>
    <r>
      <rPr>
        <sz val="10"/>
        <color rgb="FF000000"/>
        <rFont val="Noto Sans CJK SC"/>
        <family val="2"/>
      </rPr>
      <t xml:space="preserve">파일 경로 </t>
    </r>
    <r>
      <rPr>
        <sz val="10"/>
        <color rgb="FF000000"/>
        <rFont val="Arial"/>
        <family val="0"/>
        <charset val="1"/>
      </rPr>
      <t xml:space="preserve">+ ConvertOptions</t>
    </r>
  </si>
  <si>
    <r>
      <rPr>
        <sz val="10"/>
        <color rgb="FF000000"/>
        <rFont val="Noto Sans CJK SC"/>
        <family val="2"/>
      </rPr>
      <t xml:space="preserve">용지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슬라이드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폰트 등 옵션을 적용한 변환</t>
    </r>
  </si>
  <si>
    <t xml:space="preserve">office2pdf::convert_bytes(&amp;bytes, Format, &amp;opts)</t>
  </si>
  <si>
    <r>
      <rPr>
        <sz val="10"/>
        <color rgb="FF000000"/>
        <rFont val="Noto Sans CJK SC"/>
        <family val="2"/>
      </rPr>
      <t xml:space="preserve">바이트 슬라이스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명시적 </t>
    </r>
    <r>
      <rPr>
        <sz val="10"/>
        <color rgb="FF000000"/>
        <rFont val="Arial"/>
        <family val="0"/>
        <charset val="1"/>
      </rPr>
      <t xml:space="preserve">Format</t>
    </r>
  </si>
  <si>
    <t xml:space="preserve">파일 시스템 경유 없이 메모리 상에서 변환</t>
  </si>
  <si>
    <r>
      <rPr>
        <b val="true"/>
        <sz val="11"/>
        <color rgb="FF1F3864"/>
        <rFont val="Arial"/>
        <family val="0"/>
        <charset val="1"/>
      </rPr>
      <t xml:space="preserve">2. WASM </t>
    </r>
    <r>
      <rPr>
        <b val="true"/>
        <sz val="11"/>
        <color rgb="FF1F3864"/>
        <rFont val="Noto Sans CJK SC"/>
        <family val="2"/>
      </rPr>
      <t xml:space="preserve">바인딩 </t>
    </r>
    <r>
      <rPr>
        <b val="true"/>
        <sz val="11"/>
        <color rgb="FF1F3864"/>
        <rFont val="Arial"/>
        <family val="0"/>
        <charset val="1"/>
      </rPr>
      <t xml:space="preserve">(wasm </t>
    </r>
    <r>
      <rPr>
        <b val="true"/>
        <sz val="11"/>
        <color rgb="FF1F3864"/>
        <rFont val="Noto Sans CJK SC"/>
        <family val="2"/>
      </rPr>
      <t xml:space="preserve">피처 </t>
    </r>
    <r>
      <rPr>
        <b val="true"/>
        <sz val="11"/>
        <color rgb="FF1F3864"/>
        <rFont val="Arial"/>
        <family val="0"/>
        <charset val="1"/>
      </rPr>
      <t xml:space="preserve">· wasm-bindgen)</t>
    </r>
  </si>
  <si>
    <t xml:space="preserve">convertToPdf(data, format)</t>
  </si>
  <si>
    <t xml:space="preserve">Uint8Array</t>
  </si>
  <si>
    <r>
      <rPr>
        <sz val="10"/>
        <color rgb="FF000000"/>
        <rFont val="Noto Sans CJK SC"/>
        <family val="2"/>
      </rPr>
      <t xml:space="preserve">바이트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포맷 문자열</t>
    </r>
  </si>
  <si>
    <r>
      <rPr>
        <sz val="10"/>
        <color rgb="FF000000"/>
        <rFont val="Noto Sans CJK SC"/>
        <family val="2"/>
      </rPr>
      <t xml:space="preserve">포맷 문자열</t>
    </r>
    <r>
      <rPr>
        <sz val="10"/>
        <color rgb="FF000000"/>
        <rFont val="Arial"/>
        <family val="0"/>
        <charset val="1"/>
      </rPr>
      <t xml:space="preserve">("docx"/"xlsx"/"pptx")</t>
    </r>
    <r>
      <rPr>
        <sz val="10"/>
        <color rgb="FF000000"/>
        <rFont val="Noto Sans CJK SC"/>
        <family val="2"/>
      </rPr>
      <t xml:space="preserve">을 받는 범용 진입점</t>
    </r>
  </si>
  <si>
    <t xml:space="preserve">convertDocxToPdf(data)</t>
  </si>
  <si>
    <t xml:space="preserve">바이트</t>
  </si>
  <si>
    <r>
      <rPr>
        <sz val="10"/>
        <color rgb="FF000000"/>
        <rFont val="Arial"/>
        <family val="0"/>
        <charset val="1"/>
      </rPr>
      <t xml:space="preserve">DOCX </t>
    </r>
    <r>
      <rPr>
        <sz val="10"/>
        <color rgb="FF000000"/>
        <rFont val="Noto Sans CJK SC"/>
        <family val="2"/>
      </rPr>
      <t xml:space="preserve">전용 진입점</t>
    </r>
  </si>
  <si>
    <t xml:space="preserve">convertPptxToPdf(data)</t>
  </si>
  <si>
    <r>
      <rPr>
        <sz val="10"/>
        <color rgb="FF000000"/>
        <rFont val="Arial"/>
        <family val="0"/>
        <charset val="1"/>
      </rPr>
      <t xml:space="preserve">PPTX </t>
    </r>
    <r>
      <rPr>
        <sz val="10"/>
        <color rgb="FF000000"/>
        <rFont val="Noto Sans CJK SC"/>
        <family val="2"/>
      </rPr>
      <t xml:space="preserve">전용 진입점</t>
    </r>
  </si>
  <si>
    <t xml:space="preserve">convertXlsxToPdf(data)</t>
  </si>
  <si>
    <r>
      <rPr>
        <sz val="10"/>
        <color rgb="FF000000"/>
        <rFont val="Arial"/>
        <family val="0"/>
        <charset val="1"/>
      </rPr>
      <t xml:space="preserve">XLSX </t>
    </r>
    <r>
      <rPr>
        <sz val="10"/>
        <color rgb="FF000000"/>
        <rFont val="Noto Sans CJK SC"/>
        <family val="2"/>
      </rPr>
      <t xml:space="preserve">전용 진입점</t>
    </r>
  </si>
  <si>
    <r>
      <rPr>
        <i val="true"/>
        <sz val="8"/>
        <color rgb="FF7F7F7F"/>
        <rFont val="Noto Sans CJK SC"/>
        <family val="2"/>
      </rPr>
      <t xml:space="preserve">빌드</t>
    </r>
    <r>
      <rPr>
        <i val="true"/>
        <sz val="8"/>
        <color rgb="FF7F7F7F"/>
        <rFont val="Arial"/>
        <family val="0"/>
        <charset val="1"/>
      </rPr>
      <t xml:space="preserve">: wasm-pack build crates/office2pdf --target web --features wasm · wasm32 </t>
    </r>
    <r>
      <rPr>
        <i val="true"/>
        <sz val="8"/>
        <color rgb="FF7F7F7F"/>
        <rFont val="Noto Sans CJK SC"/>
        <family val="2"/>
      </rPr>
      <t xml:space="preserve">타깃에서는 </t>
    </r>
    <r>
      <rPr>
        <i val="true"/>
        <sz val="8"/>
        <color rgb="FF7F7F7F"/>
        <rFont val="Arial"/>
        <family val="0"/>
        <charset val="1"/>
      </rPr>
      <t xml:space="preserve">web-time</t>
    </r>
    <r>
      <rPr>
        <i val="true"/>
        <sz val="8"/>
        <color rgb="FF7F7F7F"/>
        <rFont val="Noto Sans CJK SC"/>
        <family val="2"/>
      </rPr>
      <t xml:space="preserve">으로 </t>
    </r>
    <r>
      <rPr>
        <i val="true"/>
        <sz val="8"/>
        <color rgb="FF7F7F7F"/>
        <rFont val="Arial"/>
        <family val="0"/>
        <charset val="1"/>
      </rPr>
      <t xml:space="preserve">std::time </t>
    </r>
    <r>
      <rPr>
        <i val="true"/>
        <sz val="8"/>
        <color rgb="FF7F7F7F"/>
        <rFont val="Noto Sans CJK SC"/>
        <family val="2"/>
      </rPr>
      <t xml:space="preserve">패닉을 우회하고 </t>
    </r>
    <r>
      <rPr>
        <i val="true"/>
        <sz val="8"/>
        <color rgb="FF7F7F7F"/>
        <rFont val="Arial"/>
        <family val="0"/>
        <charset val="1"/>
      </rPr>
      <t xml:space="preserve">getrandom 0.2/0.3</t>
    </r>
    <r>
      <rPr>
        <i val="true"/>
        <sz val="8"/>
        <color rgb="FF7F7F7F"/>
        <rFont val="Noto Sans CJK SC"/>
        <family val="2"/>
      </rPr>
      <t xml:space="preserve">을 </t>
    </r>
    <r>
      <rPr>
        <i val="true"/>
        <sz val="8"/>
        <color rgb="FF7F7F7F"/>
        <rFont val="Arial"/>
        <family val="0"/>
        <charset val="1"/>
      </rPr>
      <t xml:space="preserve">js </t>
    </r>
    <r>
      <rPr>
        <i val="true"/>
        <sz val="8"/>
        <color rgb="FF7F7F7F"/>
        <rFont val="Noto Sans CJK SC"/>
        <family val="2"/>
      </rPr>
      <t xml:space="preserve">백엔드로 고정합니다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</si>
  <si>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3. ConvertOptions </t>
    </r>
    <r>
      <rPr>
        <b val="true"/>
        <sz val="11"/>
        <color rgb="FF1F3864"/>
        <rFont val="Noto Sans CJK SC"/>
        <family val="2"/>
      </rPr>
      <t xml:space="preserve">필드</t>
    </r>
  </si>
  <si>
    <t xml:space="preserve">필드</t>
  </si>
  <si>
    <t xml:space="preserve">타입</t>
  </si>
  <si>
    <t xml:space="preserve">sheet_names</t>
  </si>
  <si>
    <t xml:space="preserve">Option&lt;Vec&lt;String&gt;&gt;</t>
  </si>
  <si>
    <r>
      <rPr>
        <sz val="10"/>
        <color rgb="FF000000"/>
        <rFont val="Arial"/>
        <family val="0"/>
        <charset val="1"/>
      </rPr>
      <t xml:space="preserve">None (</t>
    </r>
    <r>
      <rPr>
        <sz val="10"/>
        <color rgb="FF000000"/>
        <rFont val="Noto Sans CJK SC"/>
        <family val="2"/>
      </rPr>
      <t xml:space="preserve">전체 시트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</si>
  <si>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XLSX </t>
    </r>
    <r>
      <rPr>
        <sz val="10"/>
        <color rgb="FF000000"/>
        <rFont val="Noto Sans CJK SC"/>
        <family val="2"/>
      </rPr>
      <t xml:space="preserve">시트 이름 화이트리스트 필터</t>
    </r>
  </si>
  <si>
    <t xml:space="preserve">slide_range</t>
  </si>
  <si>
    <t xml:space="preserve">Option&lt;SlideRange&gt;</t>
  </si>
  <si>
    <r>
      <rPr>
        <sz val="10"/>
        <color rgb="FF000000"/>
        <rFont val="Arial"/>
        <family val="0"/>
        <charset val="1"/>
      </rPr>
      <t xml:space="preserve">None (</t>
    </r>
    <r>
      <rPr>
        <sz val="10"/>
        <color rgb="FF000000"/>
        <rFont val="Noto Sans CJK SC"/>
        <family val="2"/>
      </rPr>
      <t xml:space="preserve">전체 슬라이드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</si>
  <si>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PPTX </t>
    </r>
    <r>
      <rPr>
        <sz val="10"/>
        <color rgb="FF000000"/>
        <rFont val="Noto Sans CJK SC"/>
        <family val="2"/>
      </rPr>
      <t xml:space="preserve">슬라이드 범위</t>
    </r>
    <r>
      <rPr>
        <sz val="10"/>
        <color rgb="FF000000"/>
        <rFont val="Arial"/>
        <family val="0"/>
        <charset val="1"/>
      </rPr>
      <t xml:space="preserve">(1-</t>
    </r>
    <r>
      <rPr>
        <sz val="10"/>
        <color rgb="FF000000"/>
        <rFont val="Noto Sans CJK SC"/>
        <family val="2"/>
      </rPr>
      <t xml:space="preserve">기반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양끝 포함</t>
    </r>
    <r>
      <rPr>
        <sz val="10"/>
        <color rgb="FF000000"/>
        <rFont val="Arial"/>
        <family val="0"/>
        <charset val="1"/>
      </rPr>
      <t xml:space="preserve">)</t>
    </r>
  </si>
  <si>
    <t xml:space="preserve">pdf_standard</t>
  </si>
  <si>
    <t xml:space="preserve">Option&lt;PdfStandard&gt;</t>
  </si>
  <si>
    <t xml:space="preserve">None (PDF 1.7)</t>
  </si>
  <si>
    <r>
      <rPr>
        <sz val="10"/>
        <color rgb="FF000000"/>
        <rFont val="Arial"/>
        <family val="0"/>
        <charset val="1"/>
      </rPr>
      <t xml:space="preserve">PDF/A-2b </t>
    </r>
    <r>
      <rPr>
        <sz val="10"/>
        <color rgb="FF000000"/>
        <rFont val="Noto Sans CJK SC"/>
        <family val="2"/>
      </rPr>
      <t xml:space="preserve">등 준수 표준 강제</t>
    </r>
  </si>
  <si>
    <t xml:space="preserve">paper_size</t>
  </si>
  <si>
    <t xml:space="preserve">Option&lt;PaperSize&gt;</t>
  </si>
  <si>
    <r>
      <rPr>
        <sz val="10"/>
        <color rgb="FF000000"/>
        <rFont val="Arial"/>
        <family val="0"/>
        <charset val="1"/>
      </rPr>
      <t xml:space="preserve">None (</t>
    </r>
    <r>
      <rPr>
        <sz val="10"/>
        <color rgb="FF000000"/>
        <rFont val="Noto Sans CJK SC"/>
        <family val="2"/>
      </rPr>
      <t xml:space="preserve">원본 크기</t>
    </r>
    <r>
      <rPr>
        <sz val="10"/>
        <color rgb="FF000000"/>
        <rFont val="Arial"/>
        <family val="0"/>
        <charset val="1"/>
      </rPr>
      <t xml:space="preserve">)</t>
    </r>
  </si>
  <si>
    <t xml:space="preserve">출력 용지 크기 재정의</t>
  </si>
  <si>
    <t xml:space="preserve">font_paths</t>
  </si>
  <si>
    <t xml:space="preserve">Vec&lt;PathBuf&gt;</t>
  </si>
  <si>
    <t xml:space="preserve">빈 벡터</t>
  </si>
  <si>
    <t xml:space="preserve">추가 폰트 탐색 경로</t>
  </si>
  <si>
    <t xml:space="preserve">landscape</t>
  </si>
  <si>
    <t xml:space="preserve">Option&lt;bool&gt;</t>
  </si>
  <si>
    <r>
      <rPr>
        <sz val="10"/>
        <color rgb="FF000000"/>
        <rFont val="Arial"/>
        <family val="0"/>
        <charset val="1"/>
      </rPr>
      <t xml:space="preserve">None (</t>
    </r>
    <r>
      <rPr>
        <sz val="10"/>
        <color rgb="FF000000"/>
        <rFont val="Noto Sans CJK SC"/>
        <family val="2"/>
      </rPr>
      <t xml:space="preserve">원본 방향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</si>
  <si>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Some(true)=</t>
    </r>
    <r>
      <rPr>
        <sz val="10"/>
        <color rgb="FF000000"/>
        <rFont val="Noto Sans CJK SC"/>
        <family val="2"/>
      </rPr>
      <t xml:space="preserve">가로</t>
    </r>
    <r>
      <rPr>
        <sz val="10"/>
        <color rgb="FF000000"/>
        <rFont val="Arial"/>
        <family val="0"/>
        <charset val="1"/>
      </rPr>
      <t xml:space="preserve">, Some(false)=</t>
    </r>
    <r>
      <rPr>
        <sz val="10"/>
        <color rgb="FF000000"/>
        <rFont val="Noto Sans CJK SC"/>
        <family val="2"/>
      </rPr>
      <t xml:space="preserve">세로 강제</t>
    </r>
  </si>
  <si>
    <t xml:space="preserve">tagged</t>
  </si>
  <si>
    <t xml:space="preserve">bool</t>
  </si>
  <si>
    <r>
      <rPr>
        <sz val="10"/>
        <color rgb="FF000000"/>
        <rFont val="Noto Sans CJK SC"/>
        <family val="2"/>
      </rPr>
      <t xml:space="preserve">문서 구조 태그 포함 접근성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생성</t>
    </r>
  </si>
  <si>
    <t xml:space="preserve">pdf_ua</t>
  </si>
  <si>
    <r>
      <rPr>
        <sz val="10"/>
        <color rgb="FF000000"/>
        <rFont val="Arial"/>
        <family val="0"/>
        <charset val="1"/>
      </rPr>
      <t xml:space="preserve">PDF/UA-1 </t>
    </r>
    <r>
      <rPr>
        <sz val="10"/>
        <color rgb="FF000000"/>
        <rFont val="Noto Sans CJK SC"/>
        <family val="2"/>
      </rPr>
      <t xml:space="preserve">준수</t>
    </r>
    <r>
      <rPr>
        <sz val="10"/>
        <color rgb="FF000000"/>
        <rFont val="Arial"/>
        <family val="0"/>
        <charset val="1"/>
      </rPr>
      <t xml:space="preserve">(tagged </t>
    </r>
    <r>
      <rPr>
        <sz val="10"/>
        <color rgb="FF000000"/>
        <rFont val="Noto Sans CJK SC"/>
        <family val="2"/>
      </rPr>
      <t xml:space="preserve">함의</t>
    </r>
    <r>
      <rPr>
        <sz val="10"/>
        <color rgb="FF000000"/>
        <rFont val="Arial"/>
        <family val="0"/>
        <charset val="1"/>
      </rPr>
      <t xml:space="preserve">)</t>
    </r>
  </si>
  <si>
    <t xml:space="preserve">streaming</t>
  </si>
  <si>
    <r>
      <rPr>
        <sz val="10"/>
        <color rgb="FF000000"/>
        <rFont val="Arial"/>
        <family val="0"/>
        <charset val="1"/>
      </rPr>
      <t xml:space="preserve">XLSX </t>
    </r>
    <r>
      <rPr>
        <sz val="10"/>
        <color rgb="FF000000"/>
        <rFont val="Noto Sans CJK SC"/>
        <family val="2"/>
      </rPr>
      <t xml:space="preserve">행 청크 스트리밍 처리</t>
    </r>
    <r>
      <rPr>
        <sz val="10"/>
        <color rgb="FF000000"/>
        <rFont val="Arial"/>
        <family val="0"/>
        <charset val="1"/>
      </rPr>
      <t xml:space="preserve">(pdf-ops </t>
    </r>
    <r>
      <rPr>
        <sz val="10"/>
        <color rgb="FF000000"/>
        <rFont val="Noto Sans CJK SC"/>
        <family val="2"/>
      </rPr>
      <t xml:space="preserve">피처 필요</t>
    </r>
    <r>
      <rPr>
        <sz val="10"/>
        <color rgb="FF000000"/>
        <rFont val="Arial"/>
        <family val="0"/>
        <charset val="1"/>
      </rPr>
      <t xml:space="preserve">)</t>
    </r>
  </si>
  <si>
    <t xml:space="preserve">streaming_chunk_size</t>
  </si>
  <si>
    <t xml:space="preserve">Option&lt;usize&gt;</t>
  </si>
  <si>
    <r>
      <rPr>
        <sz val="10"/>
        <color rgb="FF000000"/>
        <rFont val="Arial"/>
        <family val="0"/>
        <charset val="1"/>
      </rPr>
      <t xml:space="preserve">None → 1000</t>
    </r>
    <r>
      <rPr>
        <sz val="10"/>
        <color rgb="FF000000"/>
        <rFont val="Noto Sans CJK SC"/>
        <family val="2"/>
      </rPr>
      <t xml:space="preserve">행</t>
    </r>
  </si>
  <si>
    <t xml:space="preserve">스트리밍 청크 크기</t>
  </si>
  <si>
    <r>
      <rPr>
        <b val="true"/>
        <sz val="11"/>
        <color rgb="FF1F3864"/>
        <rFont val="Arial"/>
        <family val="0"/>
        <charset val="1"/>
      </rPr>
      <t xml:space="preserve">4. </t>
    </r>
    <r>
      <rPr>
        <b val="true"/>
        <sz val="11"/>
        <color rgb="FF1F3864"/>
        <rFont val="Noto Sans CJK SC"/>
        <family val="2"/>
      </rPr>
      <t xml:space="preserve">열거형 및 값 도메인</t>
    </r>
  </si>
  <si>
    <t xml:space="preserve">Format</t>
  </si>
  <si>
    <t xml:space="preserve">Docx | Xlsx | Pptx</t>
  </si>
  <si>
    <r>
      <rPr>
        <sz val="10"/>
        <color rgb="FF000000"/>
        <rFont val="Arial"/>
        <family val="0"/>
        <charset val="1"/>
      </rPr>
      <t xml:space="preserve">from_extension </t>
    </r>
    <r>
      <rPr>
        <sz val="10"/>
        <color rgb="FF000000"/>
        <rFont val="Noto Sans CJK SC"/>
        <family val="2"/>
      </rPr>
      <t xml:space="preserve">으로 확장자 판별</t>
    </r>
  </si>
  <si>
    <t xml:space="preserve">포맷 명시 또는 자동 판별</t>
  </si>
  <si>
    <t xml:space="preserve">PaperSize</t>
  </si>
  <si>
    <t xml:space="preserve">A4 | Letter | Legal | Custom(w,h)</t>
  </si>
  <si>
    <t xml:space="preserve">A4=595.28×841.89pt, Letter=612×792pt, Legal=612×1008pt</t>
  </si>
  <si>
    <t xml:space="preserve">포인트 단위 치수 반환</t>
  </si>
  <si>
    <t xml:space="preserve">PdfStandard</t>
  </si>
  <si>
    <t xml:space="preserve">PdfA2b</t>
  </si>
  <si>
    <r>
      <rPr>
        <sz val="10"/>
        <color rgb="FF000000"/>
        <rFont val="Noto Sans CJK SC"/>
        <family val="2"/>
      </rPr>
      <t xml:space="preserve">보존</t>
    </r>
    <r>
      <rPr>
        <sz val="10"/>
        <color rgb="FF000000"/>
        <rFont val="Arial"/>
        <family val="0"/>
        <charset val="1"/>
      </rPr>
      <t xml:space="preserve">(archival) </t>
    </r>
    <r>
      <rPr>
        <sz val="10"/>
        <color rgb="FF000000"/>
        <rFont val="Noto Sans CJK SC"/>
        <family val="2"/>
      </rPr>
      <t xml:space="preserve">목적 준수 프로파일</t>
    </r>
  </si>
  <si>
    <r>
      <rPr>
        <sz val="10"/>
        <color rgb="FF000000"/>
        <rFont val="Arial"/>
        <family val="0"/>
        <charset val="1"/>
      </rPr>
      <t xml:space="preserve">--pdf-a </t>
    </r>
    <r>
      <rPr>
        <sz val="10"/>
        <color rgb="FF000000"/>
        <rFont val="Noto Sans CJK SC"/>
        <family val="2"/>
      </rPr>
      <t xml:space="preserve">에 대응</t>
    </r>
  </si>
  <si>
    <t xml:space="preserve">SlideRange</t>
  </si>
  <si>
    <t xml:space="preserve">{ start: u32, end: u32 }</t>
  </si>
  <si>
    <r>
      <rPr>
        <sz val="10"/>
        <color rgb="FF000000"/>
        <rFont val="Arial"/>
        <family val="0"/>
        <charset val="1"/>
      </rPr>
      <t xml:space="preserve">"1-5" </t>
    </r>
    <r>
      <rPr>
        <sz val="10"/>
        <color rgb="FF000000"/>
        <rFont val="Noto Sans CJK SC"/>
        <family val="2"/>
      </rPr>
      <t xml:space="preserve">또는 </t>
    </r>
    <r>
      <rPr>
        <sz val="10"/>
        <color rgb="FF000000"/>
        <rFont val="Arial"/>
        <family val="0"/>
        <charset val="1"/>
      </rPr>
      <t xml:space="preserve">"3" </t>
    </r>
    <r>
      <rPr>
        <sz val="10"/>
        <color rgb="FF000000"/>
        <rFont val="Noto Sans CJK SC"/>
        <family val="2"/>
      </rPr>
      <t xml:space="preserve">파싱</t>
    </r>
    <r>
      <rPr>
        <sz val="10"/>
        <color rgb="FF000000"/>
        <rFont val="Arial"/>
        <family val="0"/>
        <charset val="1"/>
      </rPr>
      <t xml:space="preserve">, 1-</t>
    </r>
    <r>
      <rPr>
        <sz val="10"/>
        <color rgb="FF000000"/>
        <rFont val="Noto Sans CJK SC"/>
        <family val="2"/>
      </rPr>
      <t xml:space="preserve">기반 양끝 포함</t>
    </r>
  </si>
  <si>
    <r>
      <rPr>
        <sz val="10"/>
        <color rgb="FF000000"/>
        <rFont val="Arial"/>
        <family val="0"/>
        <charset val="1"/>
      </rPr>
      <t xml:space="preserve">contains(n) </t>
    </r>
    <r>
      <rPr>
        <sz val="10"/>
        <color rgb="FF000000"/>
        <rFont val="Noto Sans CJK SC"/>
        <family val="2"/>
      </rPr>
      <t xml:space="preserve">로 포함 여부 판정</t>
    </r>
  </si>
  <si>
    <r>
      <rPr>
        <b val="true"/>
        <sz val="11"/>
        <color rgb="FF1F3864"/>
        <rFont val="Arial"/>
        <family val="0"/>
        <charset val="1"/>
      </rPr>
      <t xml:space="preserve">5. </t>
    </r>
    <r>
      <rPr>
        <b val="true"/>
        <sz val="11"/>
        <color rgb="FF1F3864"/>
        <rFont val="Noto Sans CJK SC"/>
        <family val="2"/>
      </rPr>
      <t xml:space="preserve">오류 타입 </t>
    </r>
    <r>
      <rPr>
        <b val="true"/>
        <sz val="11"/>
        <color rgb="FF1F3864"/>
        <rFont val="Arial"/>
        <family val="0"/>
        <charset val="1"/>
      </rPr>
      <t xml:space="preserve">(thiserror </t>
    </r>
    <r>
      <rPr>
        <b val="true"/>
        <sz val="11"/>
        <color rgb="FF1F3864"/>
        <rFont val="Noto Sans CJK SC"/>
        <family val="2"/>
      </rPr>
      <t xml:space="preserve">기반 </t>
    </r>
    <r>
      <rPr>
        <b val="true"/>
        <sz val="11"/>
        <color rgb="FF1F3864"/>
        <rFont val="Arial"/>
        <family val="0"/>
        <charset val="1"/>
      </rPr>
      <t xml:space="preserve">Error </t>
    </r>
    <r>
      <rPr>
        <b val="true"/>
        <sz val="11"/>
        <color rgb="FF1F3864"/>
        <rFont val="Noto Sans CJK SC"/>
        <family val="2"/>
      </rPr>
      <t xml:space="preserve">열거형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</si>
  <si>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UnsupportedFormat(String)</t>
  </si>
  <si>
    <t xml:space="preserve">지원하지 않는 파일 포맷</t>
  </si>
  <si>
    <r>
      <rPr>
        <sz val="10"/>
        <color rgb="FF000000"/>
        <rFont val="Noto Sans CJK SC"/>
        <family val="2"/>
      </rPr>
      <t xml:space="preserve">확장자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포맷 판별 실패</t>
    </r>
  </si>
  <si>
    <t xml:space="preserve">Io(std::io::Error)</t>
  </si>
  <si>
    <t xml:space="preserve">입출력 오류</t>
  </si>
  <si>
    <r>
      <rPr>
        <sz val="10"/>
        <color rgb="FF000000"/>
        <rFont val="Arial"/>
        <family val="0"/>
        <charset val="1"/>
      </rPr>
      <t xml:space="preserve">#[from] </t>
    </r>
    <r>
      <rPr>
        <sz val="10"/>
        <color rgb="FF000000"/>
        <rFont val="Noto Sans CJK SC"/>
        <family val="2"/>
      </rPr>
      <t xml:space="preserve">변환</t>
    </r>
  </si>
  <si>
    <r>
      <rPr>
        <sz val="10"/>
        <color rgb="FF000000"/>
        <rFont val="Noto Sans CJK SC"/>
        <family val="2"/>
      </rPr>
      <t xml:space="preserve">파일 읽기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쓰기 실패</t>
    </r>
  </si>
  <si>
    <t xml:space="preserve">Parse(String)</t>
  </si>
  <si>
    <t xml:space="preserve">파싱 오류</t>
  </si>
  <si>
    <r>
      <rPr>
        <sz val="10"/>
        <color rgb="FF000000"/>
        <rFont val="Arial"/>
        <family val="0"/>
        <charset val="1"/>
      </rPr>
      <t xml:space="preserve">OOXML </t>
    </r>
    <r>
      <rPr>
        <sz val="10"/>
        <color rgb="FF000000"/>
        <rFont val="Noto Sans CJK SC"/>
        <family val="2"/>
      </rPr>
      <t xml:space="preserve">파싱 단계 실패</t>
    </r>
  </si>
  <si>
    <t xml:space="preserve">Render(String)</t>
  </si>
  <si>
    <t xml:space="preserve">렌더링 오류</t>
  </si>
  <si>
    <r>
      <rPr>
        <sz val="10"/>
        <color rgb="FF000000"/>
        <rFont val="Arial"/>
        <family val="0"/>
        <charset val="1"/>
      </rPr>
      <t xml:space="preserve">Typst </t>
    </r>
    <r>
      <rPr>
        <sz val="10"/>
        <color rgb="FF000000"/>
        <rFont val="Noto Sans CJK SC"/>
        <family val="2"/>
      </rPr>
      <t xml:space="preserve">컴파일</t>
    </r>
    <r>
      <rPr>
        <sz val="10"/>
        <color rgb="FF000000"/>
        <rFont val="Arial"/>
        <family val="0"/>
        <charset val="1"/>
      </rPr>
      <t xml:space="preserve">/PDF </t>
    </r>
    <r>
      <rPr>
        <sz val="10"/>
        <color rgb="FF000000"/>
        <rFont val="Noto Sans CJK SC"/>
        <family val="2"/>
      </rPr>
      <t xml:space="preserve">내보내기 실패</t>
    </r>
  </si>
  <si>
    <t xml:space="preserve">EncryptedFile</t>
  </si>
  <si>
    <r>
      <rPr>
        <sz val="10"/>
        <color rgb="FF000000"/>
        <rFont val="Noto Sans CJK SC"/>
        <family val="2"/>
      </rPr>
      <t xml:space="preserve">암호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보호된 파일</t>
    </r>
  </si>
  <si>
    <t xml:space="preserve">복호화 불가로 변환 중단</t>
  </si>
  <si>
    <t xml:space="preserve">UnsupportedElement / PartialElement / FallbackUsed / ParseSkipped</t>
  </si>
  <si>
    <t xml:space="preserve">부분 실패 진단 정보</t>
  </si>
  <si>
    <t xml:space="preserve">구조체 변형</t>
  </si>
  <si>
    <t xml:space="preserve">요소를 건너뛰되 전체 변환은 계속하는 정책의 경고 채널</t>
  </si>
  <si>
    <r>
      <rPr>
        <b val="true"/>
        <sz val="11"/>
        <color rgb="FF1F3864"/>
        <rFont val="Arial"/>
        <family val="0"/>
        <charset val="1"/>
      </rPr>
      <t xml:space="preserve">6. Cargo </t>
    </r>
    <r>
      <rPr>
        <b val="true"/>
        <sz val="11"/>
        <color rgb="FF1F3864"/>
        <rFont val="Noto Sans CJK SC"/>
        <family val="2"/>
      </rPr>
      <t xml:space="preserve">피처 플래그</t>
    </r>
  </si>
  <si>
    <t xml:space="preserve">office2pdf / wasm</t>
  </si>
  <si>
    <t xml:space="preserve">wasm-bindgen</t>
  </si>
  <si>
    <t xml:space="preserve">기본 비활성</t>
  </si>
  <si>
    <r>
      <rPr>
        <sz val="10"/>
        <color rgb="FF000000"/>
        <rFont val="Noto Sans CJK SC"/>
        <family val="2"/>
      </rPr>
      <t xml:space="preserve">브라우저</t>
    </r>
    <r>
      <rPr>
        <sz val="10"/>
        <color rgb="FF000000"/>
        <rFont val="Arial"/>
        <family val="0"/>
        <charset val="1"/>
      </rPr>
      <t xml:space="preserve">·Node.js</t>
    </r>
    <r>
      <rPr>
        <sz val="10"/>
        <color rgb="FF000000"/>
        <rFont val="Noto Sans CJK SC"/>
        <family val="2"/>
      </rPr>
      <t xml:space="preserve">용 </t>
    </r>
    <r>
      <rPr>
        <sz val="10"/>
        <color rgb="FF000000"/>
        <rFont val="Arial"/>
        <family val="0"/>
        <charset val="1"/>
      </rPr>
      <t xml:space="preserve">WASM </t>
    </r>
    <r>
      <rPr>
        <sz val="10"/>
        <color rgb="FF000000"/>
        <rFont val="Noto Sans CJK SC"/>
        <family val="2"/>
      </rPr>
      <t xml:space="preserve">바인딩 노출</t>
    </r>
  </si>
  <si>
    <t xml:space="preserve">office2pdf / pdf-ops</t>
  </si>
  <si>
    <t xml:space="preserve">lopdf 0.39</t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</si>
  <si>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병합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분할 및 스트리밍 모드의 청크 병합</t>
    </r>
  </si>
  <si>
    <t xml:space="preserve">office2pdf / typescript</t>
  </si>
  <si>
    <t xml:space="preserve">ts-rs 12</t>
  </si>
  <si>
    <r>
      <rPr>
        <sz val="10"/>
        <color rgb="FF000000"/>
        <rFont val="Noto Sans CJK SC"/>
        <family val="2"/>
      </rPr>
      <t xml:space="preserve">설정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오류 타입의 </t>
    </r>
    <r>
      <rPr>
        <sz val="10"/>
        <color rgb="FF000000"/>
        <rFont val="Arial"/>
        <family val="0"/>
        <charset val="1"/>
      </rPr>
      <t xml:space="preserve">TypeScript </t>
    </r>
    <r>
      <rPr>
        <sz val="10"/>
        <color rgb="FF000000"/>
        <rFont val="Noto Sans CJK SC"/>
        <family val="2"/>
      </rPr>
      <t xml:space="preserve">정의 생성</t>
    </r>
  </si>
  <si>
    <t xml:space="preserve">office2pdf-cli / server</t>
  </si>
  <si>
    <t xml:space="preserve">tiny_http 0.12</t>
  </si>
  <si>
    <r>
      <rPr>
        <sz val="10"/>
        <color rgb="FF000000"/>
        <rFont val="Arial"/>
        <family val="0"/>
        <charset val="1"/>
      </rPr>
      <t xml:space="preserve">HTTP </t>
    </r>
    <r>
      <rPr>
        <sz val="10"/>
        <color rgb="FF000000"/>
        <rFont val="Noto Sans CJK SC"/>
        <family val="2"/>
      </rPr>
      <t xml:space="preserve">변환 서버 서브커맨드 활성화</t>
    </r>
  </si>
  <si>
    <r>
      <rPr>
        <i val="true"/>
        <sz val="8"/>
        <color rgb="FF7F7F7F"/>
        <rFont val="Arial"/>
        <family val="0"/>
        <charset val="1"/>
      </rPr>
      <t xml:space="preserve">CLI </t>
    </r>
    <r>
      <rPr>
        <i val="true"/>
        <sz val="8"/>
        <color rgb="FF7F7F7F"/>
        <rFont val="Noto Sans CJK SC"/>
        <family val="2"/>
      </rPr>
      <t xml:space="preserve">크레이트는 </t>
    </r>
    <r>
      <rPr>
        <i val="true"/>
        <sz val="8"/>
        <color rgb="FF7F7F7F"/>
        <rFont val="Arial"/>
        <family val="0"/>
        <charset val="1"/>
      </rPr>
      <t xml:space="preserve">office2pdf </t>
    </r>
    <r>
      <rPr>
        <i val="true"/>
        <sz val="8"/>
        <color rgb="FF7F7F7F"/>
        <rFont val="Noto Sans CJK SC"/>
        <family val="2"/>
      </rPr>
      <t xml:space="preserve">를 </t>
    </r>
    <r>
      <rPr>
        <i val="true"/>
        <sz val="8"/>
        <color rgb="FF7F7F7F"/>
        <rFont val="Arial"/>
        <family val="0"/>
        <charset val="1"/>
      </rPr>
      <t xml:space="preserve">pdf-ops </t>
    </r>
    <r>
      <rPr>
        <i val="true"/>
        <sz val="8"/>
        <color rgb="FF7F7F7F"/>
        <rFont val="Noto Sans CJK SC"/>
        <family val="2"/>
      </rPr>
      <t xml:space="preserve">피처와 함께 의존하므로</t>
    </r>
    <r>
      <rPr>
        <i val="true"/>
        <sz val="8"/>
        <color rgb="FF7F7F7F"/>
        <rFont val="Arial"/>
        <family val="0"/>
        <charset val="1"/>
      </rPr>
      <t xml:space="preserve">, </t>
    </r>
    <r>
      <rPr>
        <i val="true"/>
        <sz val="8"/>
        <color rgb="FF7F7F7F"/>
        <rFont val="Noto Sans CJK SC"/>
        <family val="2"/>
      </rPr>
      <t xml:space="preserve">배포 바이너리에서는 </t>
    </r>
    <r>
      <rPr>
        <i val="true"/>
        <sz val="8"/>
        <color rgb="FF7F7F7F"/>
        <rFont val="Arial"/>
        <family val="0"/>
        <charset val="1"/>
      </rPr>
      <t xml:space="preserve">PDF </t>
    </r>
    <r>
      <rPr>
        <i val="true"/>
        <sz val="8"/>
        <color rgb="FF7F7F7F"/>
        <rFont val="Noto Sans CJK SC"/>
        <family val="2"/>
      </rPr>
      <t xml:space="preserve">병합</t>
    </r>
    <r>
      <rPr>
        <i val="true"/>
        <sz val="8"/>
        <color rgb="FF7F7F7F"/>
        <rFont val="Arial"/>
        <family val="0"/>
        <charset val="1"/>
      </rPr>
      <t xml:space="preserve">/</t>
    </r>
    <r>
      <rPr>
        <i val="true"/>
        <sz val="8"/>
        <color rgb="FF7F7F7F"/>
        <rFont val="Noto Sans CJK SC"/>
        <family val="2"/>
      </rPr>
      <t xml:space="preserve">분할과 스트리밍 병합이 항상 사용 가능합니다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</si>
  <si>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5"/>
        <color rgb="FFFFFFFF"/>
        <rFont val="Arial"/>
        <family val="0"/>
        <charset val="1"/>
      </rPr>
      <t xml:space="preserve">05. </t>
    </r>
    <r>
      <rPr>
        <b val="true"/>
        <sz val="15"/>
        <color rgb="FFFFFFFF"/>
        <rFont val="Noto Sans CJK SC"/>
        <family val="2"/>
      </rPr>
      <t xml:space="preserve">소스 모듈 인벤토리 — 계층 </t>
    </r>
    <r>
      <rPr>
        <b val="true"/>
        <sz val="15"/>
        <color rgb="FFFFFFFF"/>
        <rFont val="Arial"/>
        <family val="0"/>
        <charset val="1"/>
      </rPr>
      <t xml:space="preserve">/ </t>
    </r>
    <r>
      <rPr>
        <b val="true"/>
        <sz val="15"/>
        <color rgb="FFFFFFFF"/>
        <rFont val="Noto Sans CJK SC"/>
        <family val="2"/>
      </rPr>
      <t xml:space="preserve">대상 포맷 </t>
    </r>
    <r>
      <rPr>
        <b val="true"/>
        <sz val="15"/>
        <color rgb="FFFFFFFF"/>
        <rFont val="Arial"/>
        <family val="0"/>
        <charset val="1"/>
      </rPr>
      <t xml:space="preserve">/ LOC / </t>
    </r>
    <r>
      <rPr>
        <b val="true"/>
        <sz val="15"/>
        <color rgb="FFFFFFFF"/>
        <rFont val="Noto Sans CJK SC"/>
        <family val="2"/>
      </rPr>
      <t xml:space="preserve">단위 테스트 수</t>
    </r>
  </si>
  <si>
    <r>
      <rPr>
        <i val="true"/>
        <sz val="9"/>
        <color rgb="FF404040"/>
        <rFont val="Arial"/>
        <family val="0"/>
        <charset val="1"/>
      </rPr>
      <t xml:space="preserve">main </t>
    </r>
    <r>
      <rPr>
        <i val="true"/>
        <sz val="9"/>
        <color rgb="FF404040"/>
        <rFont val="Noto Sans CJK SC"/>
        <family val="2"/>
      </rPr>
      <t xml:space="preserve">브랜치 얕은 클론에서 </t>
    </r>
    <r>
      <rPr>
        <i val="true"/>
        <sz val="9"/>
        <color rgb="FF404040"/>
        <rFont val="Arial"/>
        <family val="0"/>
        <charset val="1"/>
      </rPr>
      <t xml:space="preserve">crates/**/src/**/*.rs </t>
    </r>
    <r>
      <rPr>
        <i val="true"/>
        <sz val="9"/>
        <color rgb="FF404040"/>
        <rFont val="Noto Sans CJK SC"/>
        <family val="2"/>
      </rPr>
      <t xml:space="preserve">및 </t>
    </r>
    <r>
      <rPr>
        <i val="true"/>
        <sz val="9"/>
        <color rgb="FF404040"/>
        <rFont val="Arial"/>
        <family val="0"/>
        <charset val="1"/>
      </rPr>
      <t xml:space="preserve">crates/office2pdf/tests/*.rs </t>
    </r>
    <r>
      <rPr>
        <i val="true"/>
        <sz val="9"/>
        <color rgb="FF404040"/>
        <rFont val="Noto Sans CJK SC"/>
        <family val="2"/>
      </rPr>
      <t xml:space="preserve">를 기계적으로 집계했습니다</t>
    </r>
    <r>
      <rPr>
        <i val="true"/>
        <sz val="9"/>
        <color rgb="FF404040"/>
        <rFont val="Arial"/>
        <family val="0"/>
        <charset val="1"/>
      </rPr>
      <t xml:space="preserve">. LOC</t>
    </r>
    <r>
      <rPr>
        <i val="true"/>
        <sz val="9"/>
        <color rgb="FF404040"/>
        <rFont val="Noto Sans CJK SC"/>
        <family val="2"/>
      </rPr>
      <t xml:space="preserve">는 공백</t>
    </r>
    <r>
      <rPr>
        <i val="true"/>
        <sz val="9"/>
        <color rgb="FF404040"/>
        <rFont val="Arial"/>
        <family val="0"/>
        <charset val="1"/>
      </rPr>
      <t xml:space="preserve">·</t>
    </r>
    <r>
      <rPr>
        <i val="true"/>
        <sz val="9"/>
        <color rgb="FF404040"/>
        <rFont val="Noto Sans CJK SC"/>
        <family val="2"/>
      </rPr>
      <t xml:space="preserve">주석을 포함한 물리적 행 수이며</t>
    </r>
    <r>
      <rPr>
        <i val="true"/>
        <sz val="9"/>
        <color rgb="FF404040"/>
        <rFont val="Arial"/>
        <family val="0"/>
        <charset val="1"/>
      </rPr>
      <t xml:space="preserve">, </t>
    </r>
    <r>
      <rPr>
        <i val="true"/>
        <sz val="9"/>
        <color rgb="FF404040"/>
        <rFont val="Noto Sans CJK SC"/>
        <family val="2"/>
      </rPr>
      <t xml:space="preserve">테스트 수는 </t>
    </r>
    <r>
      <rPr>
        <i val="true"/>
        <sz val="9"/>
        <color rgb="FF404040"/>
        <rFont val="Arial"/>
        <family val="0"/>
        <charset val="1"/>
      </rPr>
      <t xml:space="preserve">#[test] / #[wasm_bindgen_test] </t>
    </r>
    <r>
      <rPr>
        <i val="true"/>
        <sz val="9"/>
        <color rgb="FF404040"/>
        <rFont val="Noto Sans CJK SC"/>
        <family val="2"/>
      </rPr>
      <t xml:space="preserve">어노테이션 개수입니다</t>
    </r>
    <r>
      <rPr>
        <i val="true"/>
        <sz val="9"/>
        <color rgb="FF404040"/>
        <rFont val="Arial"/>
        <family val="0"/>
        <charset val="1"/>
      </rPr>
      <t xml:space="preserve">.</t>
    </r>
  </si>
  <si>
    <r>
      <rPr>
        <b val="true"/>
        <sz val="10"/>
        <color rgb="FF1F3864"/>
        <rFont val="Noto Sans CJK SC"/>
        <family val="2"/>
      </rPr>
      <t xml:space="preserve">필터 반영 합계 </t>
    </r>
    <r>
      <rPr>
        <b val="true"/>
        <sz val="10"/>
        <color rgb="FF1F3864"/>
        <rFont val="Arial"/>
        <family val="0"/>
        <charset val="1"/>
      </rPr>
      <t xml:space="preserve">(SUBTOTAL) →</t>
    </r>
  </si>
  <si>
    <t xml:space="preserve">크레이트</t>
  </si>
  <si>
    <r>
      <rPr>
        <b val="true"/>
        <sz val="10"/>
        <color rgb="FFFFFFFF"/>
        <rFont val="Noto Sans CJK SC"/>
        <family val="2"/>
      </rPr>
      <t xml:space="preserve">경로 </t>
    </r>
    <r>
      <rPr>
        <b val="true"/>
        <sz val="10"/>
        <color rgb="FFFFFFFF"/>
        <rFont val="Arial"/>
        <family val="0"/>
        <charset val="1"/>
      </rPr>
      <t xml:space="preserve">(src/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</si>
  <si>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파일 성격</t>
  </si>
  <si>
    <t xml:space="preserve">LOC</t>
  </si>
  <si>
    <r>
      <rPr>
        <b val="true"/>
        <sz val="10"/>
        <color rgb="FFFFFFFF"/>
        <rFont val="Arial"/>
        <family val="0"/>
        <charset val="1"/>
      </rPr>
      <t xml:space="preserve">#[test] </t>
    </r>
    <r>
      <rPr>
        <b val="true"/>
        <sz val="10"/>
        <color rgb="FFFFFFFF"/>
        <rFont val="Noto Sans CJK SC"/>
        <family val="2"/>
      </rPr>
      <t xml:space="preserve">수</t>
    </r>
  </si>
  <si>
    <r>
      <rPr>
        <b val="true"/>
        <sz val="10"/>
        <color rgb="FFFFFFFF"/>
        <rFont val="Arial"/>
        <family val="0"/>
        <charset val="1"/>
      </rPr>
      <t xml:space="preserve">LOC </t>
    </r>
    <r>
      <rPr>
        <b val="true"/>
        <sz val="10"/>
        <color rgb="FFFFFFFF"/>
        <rFont val="Noto Sans CJK SC"/>
        <family val="2"/>
      </rPr>
      <t xml:space="preserve">비중</t>
    </r>
  </si>
  <si>
    <t xml:space="preserve">office2pdf</t>
  </si>
  <si>
    <t xml:space="preserve">config.rs</t>
  </si>
  <si>
    <t xml:space="preserve">프로덕션</t>
  </si>
  <si>
    <t xml:space="preserve">config_tests.rs</t>
  </si>
  <si>
    <t xml:space="preserve">테스트</t>
  </si>
  <si>
    <t xml:space="preserve">config_ts_tests.rs</t>
  </si>
  <si>
    <t xml:space="preserve">defaults.rs</t>
  </si>
  <si>
    <t xml:space="preserve">defaults_tests.rs</t>
  </si>
  <si>
    <t xml:space="preserve">error.rs</t>
  </si>
  <si>
    <t xml:space="preserve">error_tests.rs</t>
  </si>
  <si>
    <t xml:space="preserve">error_ts_tests.rs</t>
  </si>
  <si>
    <t xml:space="preserve">lib.rs</t>
  </si>
  <si>
    <t xml:space="preserve">lib_conversion_tests.rs</t>
  </si>
  <si>
    <t xml:space="preserve">lib_pipeline.rs</t>
  </si>
  <si>
    <t xml:space="preserve">lib_pipeline_tests.rs</t>
  </si>
  <si>
    <t xml:space="preserve">lib_render_tests.rs</t>
  </si>
  <si>
    <t xml:space="preserve">lib_robustness_tests.rs</t>
  </si>
  <si>
    <t xml:space="preserve">lib_streaming_tests.rs</t>
  </si>
  <si>
    <t xml:space="preserve">lib_test_support.rs</t>
  </si>
  <si>
    <t xml:space="preserve">lib_ts_integration_tests.rs</t>
  </si>
  <si>
    <t xml:space="preserve">pdf_ops.rs</t>
  </si>
  <si>
    <t xml:space="preserve">pdf_ops_tests.rs</t>
  </si>
  <si>
    <t xml:space="preserve">wasm.rs</t>
  </si>
  <si>
    <t xml:space="preserve">wasm_tests.rs</t>
  </si>
  <si>
    <t xml:space="preserve">tests/artifact_generator.rs</t>
  </si>
  <si>
    <t xml:space="preserve">tests/bulk_conversion.rs</t>
  </si>
  <si>
    <t xml:space="preserve">tests/docx_fixtures.rs</t>
  </si>
  <si>
    <t xml:space="preserve">tests/pdf_validation.rs</t>
  </si>
  <si>
    <t xml:space="preserve">tests/perf_validation.rs</t>
  </si>
  <si>
    <t xml:space="preserve">tests/pptx_fixtures.rs</t>
  </si>
  <si>
    <t xml:space="preserve">tests/public_visual_audit.rs</t>
  </si>
  <si>
    <t xml:space="preserve">tests/xlsx_fixtures.rs</t>
  </si>
  <si>
    <t xml:space="preserve">ir/document.rs</t>
  </si>
  <si>
    <t xml:space="preserve">ir/document_tests.rs</t>
  </si>
  <si>
    <t xml:space="preserve">ir/elements.rs</t>
  </si>
  <si>
    <t xml:space="preserve">ir/elements_tests.rs</t>
  </si>
  <si>
    <t xml:space="preserve">ir/mod.rs</t>
  </si>
  <si>
    <t xml:space="preserve">ir/positioned_tests.rs</t>
  </si>
  <si>
    <t xml:space="preserve">ir/style.rs</t>
  </si>
  <si>
    <t xml:space="preserve">ir/style_tests.rs</t>
  </si>
  <si>
    <t xml:space="preserve">parser/chart.rs</t>
  </si>
  <si>
    <t xml:space="preserve">parser/chart_tests.rs</t>
  </si>
  <si>
    <t xml:space="preserve">parser/cond_fmt.rs</t>
  </si>
  <si>
    <t xml:space="preserve">parser/cond_fmt_tests.rs</t>
  </si>
  <si>
    <t xml:space="preserve">parser/docx.rs</t>
  </si>
  <si>
    <t xml:space="preserve">parser/docx_context_bidi.rs</t>
  </si>
  <si>
    <t xml:space="preserve">parser/docx_context_chart.rs</t>
  </si>
  <si>
    <t xml:space="preserve">parser/docx_context_drawing.rs</t>
  </si>
  <si>
    <t xml:space="preserve">parser/docx_context_math.rs</t>
  </si>
  <si>
    <t xml:space="preserve">parser/docx_context_paragraph_shading.rs</t>
  </si>
  <si>
    <t xml:space="preserve">parser/docx_context_shape.rs</t>
  </si>
  <si>
    <t xml:space="preserve">parser/docx_context_shape_tests.rs</t>
  </si>
  <si>
    <t xml:space="preserve">parser/docx_context_small_caps.rs</t>
  </si>
  <si>
    <t xml:space="preserve">parser/docx_context_table_style.rs</t>
  </si>
  <si>
    <t xml:space="preserve">parser/docx_context_vml.rs</t>
  </si>
  <si>
    <t xml:space="preserve">parser/docx_contexts.rs</t>
  </si>
  <si>
    <t xml:space="preserve">parser/docx_foundation_tests.rs</t>
  </si>
  <si>
    <t xml:space="preserve">parser/docx_image_tests.rs</t>
  </si>
  <si>
    <t xml:space="preserve">parser/docx_layout_rtl_tests.rs</t>
  </si>
  <si>
    <t xml:space="preserve">parser/docx_lists.rs</t>
  </si>
  <si>
    <t xml:space="preserve">parser/docx_math_chart_metadata_tests.rs</t>
  </si>
  <si>
    <t xml:space="preserve">parser/docx_media.rs</t>
  </si>
  <si>
    <t xml:space="preserve">parser/docx_notes_textbox_tests.rs</t>
  </si>
  <si>
    <t xml:space="preserve">parser/docx_notes_toc_tests.rs</t>
  </si>
  <si>
    <t xml:space="preserve">parser/docx_page_feature_tests.rs</t>
  </si>
  <si>
    <t xml:space="preserve">parser/docx_sections.rs</t>
  </si>
  <si>
    <t xml:space="preserve">parser/docx_style_tests.rs</t>
  </si>
  <si>
    <t xml:space="preserve">parser/docx_table_tests.rs</t>
  </si>
  <si>
    <t xml:space="preserve">parser/docx_tables.rs</t>
  </si>
  <si>
    <t xml:space="preserve">parser/docx_tests.rs</t>
  </si>
  <si>
    <t xml:space="preserve">parser/docx_text.rs</t>
  </si>
  <si>
    <t xml:space="preserve">parser/drawingml.rs</t>
  </si>
  <si>
    <t xml:space="preserve">parser/drawingml_tests.rs</t>
  </si>
  <si>
    <t xml:space="preserve">parser/embedded_fonts.rs</t>
  </si>
  <si>
    <t xml:space="preserve">parser/embedded_fonts_tests.rs</t>
  </si>
  <si>
    <t xml:space="preserve">parser/metadata_tests.rs</t>
  </si>
  <si>
    <t xml:space="preserve">parser/mod.rs</t>
  </si>
  <si>
    <t xml:space="preserve">parser/omml/mod.rs</t>
  </si>
  <si>
    <t xml:space="preserve">parser/omml/text.rs</t>
  </si>
  <si>
    <t xml:space="preserve">parser/omml/unicode.rs</t>
  </si>
  <si>
    <t xml:space="preserve">parser/omml_tests.rs</t>
  </si>
  <si>
    <t xml:space="preserve">parser/pptx.rs</t>
  </si>
  <si>
    <t xml:space="preserve">parser/pptx_background_image_tests.rs</t>
  </si>
  <si>
    <t xml:space="preserve">parser/pptx_background_ref_tests.rs</t>
  </si>
  <si>
    <t xml:space="preserve">parser/pptx_chart_tests.rs</t>
  </si>
  <si>
    <t xml:space="preserve">parser/pptx_connector_tests.rs</t>
  </si>
  <si>
    <t xml:space="preserve">parser/pptx_group_shape_tests.rs</t>
  </si>
  <si>
    <t xml:space="preserve">parser/pptx_image_tests.rs</t>
  </si>
  <si>
    <t xml:space="preserve">parser/pptx_metadata_tests.rs</t>
  </si>
  <si>
    <t xml:space="preserve">parser/pptx_package.rs</t>
  </si>
  <si>
    <t xml:space="preserve">parser/pptx_placeholder_geometry_tests.rs</t>
  </si>
  <si>
    <t xml:space="preserve">parser/pptx_placeholder_style_tests.rs</t>
  </si>
  <si>
    <t xml:space="preserve">parser/pptx_placeholders.rs</t>
  </si>
  <si>
    <t xml:space="preserve">parser/pptx_preset_shape_tests.rs</t>
  </si>
  <si>
    <t xml:space="preserve">parser/pptx_shape_style_tests.rs</t>
  </si>
  <si>
    <t xml:space="preserve">parser/pptx_shapes.rs</t>
  </si>
  <si>
    <t xml:space="preserve">parser/pptx_slide_feature_tests.rs</t>
  </si>
  <si>
    <t xml:space="preserve">parser/pptx_slides.rs</t>
  </si>
  <si>
    <t xml:space="preserve">parser/pptx_smartart_tests.rs</t>
  </si>
  <si>
    <t xml:space="preserve">parser/pptx_table_style_tests.rs</t>
  </si>
  <si>
    <t xml:space="preserve">parser/pptx_table_styles.rs</t>
  </si>
  <si>
    <t xml:space="preserve">parser/pptx_table_tests.rs</t>
  </si>
  <si>
    <t xml:space="preserve">parser/pptx_tables.rs</t>
  </si>
  <si>
    <t xml:space="preserve">parser/pptx_tests.rs</t>
  </si>
  <si>
    <t xml:space="preserve">parser/pptx_text.rs</t>
  </si>
  <si>
    <t xml:space="preserve">parser/pptx_text_box_semantic_tests.rs</t>
  </si>
  <si>
    <t xml:space="preserve">parser/pptx_text_box_tests.rs</t>
  </si>
  <si>
    <t xml:space="preserve">parser/pptx_theme.rs</t>
  </si>
  <si>
    <t xml:space="preserve">parser/pptx_theme_tests.rs</t>
  </si>
  <si>
    <t xml:space="preserve">parser/smartart.rs</t>
  </si>
  <si>
    <t xml:space="preserve">parser/smartart_tests.rs</t>
  </si>
  <si>
    <t xml:space="preserve">parser/units.rs</t>
  </si>
  <si>
    <t xml:space="preserve">parser/units_tests.rs</t>
  </si>
  <si>
    <t xml:space="preserve">parser/wmf.rs</t>
  </si>
  <si>
    <t xml:space="preserve">parser/xlsx.rs</t>
  </si>
  <si>
    <t xml:space="preserve">parser/xlsx_cell_format_tests.rs</t>
  </si>
  <si>
    <t xml:space="preserve">parser/xlsx_chart_tests.rs</t>
  </si>
  <si>
    <t xml:space="preserve">parser/xlsx_cond_fmt_raw.rs</t>
  </si>
  <si>
    <t xml:space="preserve">parser/xlsx_condfmt_tests.rs</t>
  </si>
  <si>
    <t xml:space="preserve">parser/xlsx_drawing.rs</t>
  </si>
  <si>
    <t xml:space="preserve">parser/xlsx_drawing_tests.rs</t>
  </si>
  <si>
    <t xml:space="preserve">parser/xlsx_page_feature_tests.rs</t>
  </si>
  <si>
    <t xml:space="preserve">parser/xlsx_pagination.rs</t>
  </si>
  <si>
    <t xml:space="preserve">parser/xlsx_pagination_tests.rs</t>
  </si>
  <si>
    <t xml:space="preserve">parser/xlsx_streaming_tests.rs</t>
  </si>
  <si>
    <t xml:space="preserve">parser/xlsx_style.rs</t>
  </si>
  <si>
    <t xml:space="preserve">parser/xlsx_tests.rs</t>
  </si>
  <si>
    <t xml:space="preserve">parser/xml_util.rs</t>
  </si>
  <si>
    <t xml:space="preserve">parser/xml_util_tests.rs</t>
  </si>
  <si>
    <t xml:space="preserve">render/font_context.rs</t>
  </si>
  <si>
    <t xml:space="preserve">render/font_context_tests.rs</t>
  </si>
  <si>
    <t xml:space="preserve">render/font_subst.rs</t>
  </si>
  <si>
    <t xml:space="preserve">render/font_subst_tests.rs</t>
  </si>
  <si>
    <t xml:space="preserve">render/mod.rs</t>
  </si>
  <si>
    <t xml:space="preserve">render/pdf.rs</t>
  </si>
  <si>
    <t xml:space="preserve">render/pdf_tests.rs</t>
  </si>
  <si>
    <t xml:space="preserve">render/typst_gen.rs</t>
  </si>
  <si>
    <t xml:space="preserve">render/typst_gen_advanced_tests.rs</t>
  </si>
  <si>
    <t xml:space="preserve">render/typst_gen_diagram_visual_tests.rs</t>
  </si>
  <si>
    <t xml:space="preserve">render/typst_gen_diagrams.rs</t>
  </si>
  <si>
    <t xml:space="preserve">render/typst_gen_fixed_page_tests.rs</t>
  </si>
  <si>
    <t xml:space="preserve">render/typst_gen_fixed_page_textbox_tests.rs</t>
  </si>
  <si>
    <t xml:space="preserve">render/typst_gen_fmt.rs</t>
  </si>
  <si>
    <t xml:space="preserve">render/typst_gen_fmt_tests.rs</t>
  </si>
  <si>
    <t xml:space="preserve">render/typst_gen_image_tests.rs</t>
  </si>
  <si>
    <t xml:space="preserve">render/typst_gen_list_tests.rs</t>
  </si>
  <si>
    <t xml:space="preserve">render/typst_gen_lists.rs</t>
  </si>
  <si>
    <t xml:space="preserve">render/typst_gen_page_misc_tests.rs</t>
  </si>
  <si>
    <t xml:space="preserve">render/typst_gen_paragraph_tests.rs</t>
  </si>
  <si>
    <t xml:space="preserve">render/typst_gen_shapes.rs</t>
  </si>
  <si>
    <t xml:space="preserve">render/typst_gen_table_border_tests.rs</t>
  </si>
  <si>
    <t xml:space="preserve">render/typst_gen_table_cell_content_tests.rs</t>
  </si>
  <si>
    <t xml:space="preserve">render/typst_gen_table_codegen_tests.rs</t>
  </si>
  <si>
    <t xml:space="preserve">render/typst_gen_table_page_tests.rs</t>
  </si>
  <si>
    <t xml:space="preserve">render/typst_gen_tables.rs</t>
  </si>
  <si>
    <t xml:space="preserve">render/typst_gen_tests.rs</t>
  </si>
  <si>
    <t xml:space="preserve">render/typst_gen_text.rs</t>
  </si>
  <si>
    <t xml:space="preserve">render/typst_gen_text_pipeline_tests.rs</t>
  </si>
  <si>
    <t xml:space="preserve">render/typst_gen_visual_tests.rs</t>
  </si>
  <si>
    <t xml:space="preserve">office2pdf-cli</t>
  </si>
  <si>
    <t xml:space="preserve">main.rs</t>
  </si>
  <si>
    <t xml:space="preserve">main_tests.rs</t>
  </si>
  <si>
    <t xml:space="preserve">metrics.rs</t>
  </si>
  <si>
    <t xml:space="preserve">metrics_tests.rs</t>
  </si>
  <si>
    <t xml:space="preserve">server.rs</t>
  </si>
  <si>
    <t xml:space="preserve">server_tests.rs</t>
  </si>
  <si>
    <r>
      <rPr>
        <b val="true"/>
        <sz val="11"/>
        <color rgb="FF1F3864"/>
        <rFont val="Noto Sans CJK SC"/>
        <family val="2"/>
      </rPr>
      <t xml:space="preserve">계층별 집계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전체 데이터 기준</t>
    </r>
    <r>
      <rPr>
        <b val="true"/>
        <sz val="11"/>
        <color rgb="FF1F3864"/>
        <rFont val="Arial"/>
        <family val="0"/>
        <charset val="1"/>
      </rPr>
      <t xml:space="preserve">, </t>
    </r>
    <r>
      <rPr>
        <b val="true"/>
        <sz val="11"/>
        <color rgb="FF1F3864"/>
        <rFont val="Noto Sans CJK SC"/>
        <family val="2"/>
      </rPr>
      <t xml:space="preserve">필터 무관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</si>
  <si>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파일 수</t>
  </si>
  <si>
    <r>
      <rPr>
        <b val="true"/>
        <sz val="10"/>
        <color rgb="FFFFFFFF"/>
        <rFont val="Noto Sans CJK SC"/>
        <family val="2"/>
      </rPr>
      <t xml:space="preserve">테스트 </t>
    </r>
    <r>
      <rPr>
        <b val="true"/>
        <sz val="10"/>
        <color rgb="FFFFFFFF"/>
        <rFont val="Arial"/>
        <family val="0"/>
        <charset val="1"/>
      </rPr>
      <t xml:space="preserve">LOC</t>
    </r>
  </si>
  <si>
    <r>
      <rPr>
        <b val="true"/>
        <sz val="10"/>
        <color rgb="FFFFFFFF"/>
        <rFont val="Noto Sans CJK SC"/>
        <family val="2"/>
      </rPr>
      <t xml:space="preserve">총 </t>
    </r>
    <r>
      <rPr>
        <b val="true"/>
        <sz val="10"/>
        <color rgb="FFFFFFFF"/>
        <rFont val="Arial"/>
        <family val="0"/>
        <charset val="1"/>
      </rPr>
      <t xml:space="preserve">LOC</t>
    </r>
  </si>
  <si>
    <r>
      <rPr>
        <sz val="10"/>
        <rFont val="Arial"/>
        <family val="0"/>
        <charset val="1"/>
      </rPr>
      <t xml:space="preserve">OOXML </t>
    </r>
    <r>
      <rPr>
        <sz val="10"/>
        <rFont val="Noto Sans CJK SC"/>
        <family val="2"/>
      </rPr>
      <t xml:space="preserve">패키지 파싱 → 중간 표현</t>
    </r>
    <r>
      <rPr>
        <sz val="10"/>
        <rFont val="Arial"/>
        <family val="0"/>
        <charset val="1"/>
      </rPr>
      <t xml:space="preserve">(IR) </t>
    </r>
    <r>
      <rPr>
        <sz val="10"/>
        <rFont val="Noto Sans CJK SC"/>
        <family val="2"/>
      </rPr>
      <t xml:space="preserve">생성</t>
    </r>
  </si>
  <si>
    <r>
      <rPr>
        <sz val="10"/>
        <rFont val="Arial"/>
        <family val="0"/>
        <charset val="1"/>
      </rPr>
      <t xml:space="preserve">IR → Typst </t>
    </r>
    <r>
      <rPr>
        <sz val="10"/>
        <rFont val="Noto Sans CJK SC"/>
        <family val="2"/>
      </rPr>
      <t xml:space="preserve">마크업 코드 생성 및 </t>
    </r>
    <r>
      <rPr>
        <sz val="10"/>
        <rFont val="Arial"/>
        <family val="0"/>
        <charset val="1"/>
      </rPr>
      <t xml:space="preserve">PDF </t>
    </r>
    <r>
      <rPr>
        <sz val="10"/>
        <rFont val="Noto Sans CJK SC"/>
        <family val="2"/>
      </rPr>
      <t xml:space="preserve">내보내기</t>
    </r>
  </si>
  <si>
    <r>
      <rPr>
        <sz val="10"/>
        <rFont val="Noto Sans CJK SC"/>
        <family val="2"/>
      </rPr>
      <t xml:space="preserve">공개 </t>
    </r>
    <r>
      <rPr>
        <sz val="10"/>
        <rFont val="Arial"/>
        <family val="0"/>
        <charset val="1"/>
      </rPr>
      <t xml:space="preserve">API, </t>
    </r>
    <r>
      <rPr>
        <sz val="10"/>
        <rFont val="Noto Sans CJK SC"/>
        <family val="2"/>
      </rPr>
      <t xml:space="preserve">변환 파이프라인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설정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오류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기본값</t>
    </r>
    <r>
      <rPr>
        <sz val="10"/>
        <rFont val="Arial"/>
        <family val="0"/>
        <charset val="1"/>
      </rPr>
      <t xml:space="preserve">, WASM </t>
    </r>
    <r>
      <rPr>
        <sz val="10"/>
        <rFont val="Noto Sans CJK SC"/>
        <family val="2"/>
      </rPr>
      <t xml:space="preserve">바인딩</t>
    </r>
  </si>
  <si>
    <r>
      <rPr>
        <sz val="10"/>
        <rFont val="Noto Sans CJK SC"/>
        <family val="2"/>
      </rPr>
      <t xml:space="preserve">포맷 독립 문서 모델</t>
    </r>
    <r>
      <rPr>
        <sz val="10"/>
        <rFont val="Arial"/>
        <family val="0"/>
        <charset val="1"/>
      </rPr>
      <t xml:space="preserve">(Document/Page/Block/Style)</t>
    </r>
  </si>
  <si>
    <r>
      <rPr>
        <sz val="10"/>
        <rFont val="Noto Sans CJK SC"/>
        <family val="2"/>
      </rPr>
      <t xml:space="preserve">픽스처 기반 통합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성능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시각 회귀 테스트 하네스</t>
    </r>
  </si>
  <si>
    <t xml:space="preserve">합계</t>
  </si>
  <si>
    <r>
      <rPr>
        <i val="true"/>
        <sz val="8"/>
        <color rgb="FF7F7F7F"/>
        <rFont val="Noto Sans CJK SC"/>
        <family val="2"/>
      </rPr>
      <t xml:space="preserve">파일 성격 분류 규칙</t>
    </r>
    <r>
      <rPr>
        <i val="true"/>
        <sz val="8"/>
        <color rgb="FF7F7F7F"/>
        <rFont val="Arial"/>
        <family val="0"/>
        <charset val="1"/>
      </rPr>
      <t xml:space="preserve">: </t>
    </r>
    <r>
      <rPr>
        <i val="true"/>
        <sz val="8"/>
        <color rgb="FF7F7F7F"/>
        <rFont val="Noto Sans CJK SC"/>
        <family val="2"/>
      </rPr>
      <t xml:space="preserve">파일명이 </t>
    </r>
    <r>
      <rPr>
        <i val="true"/>
        <sz val="8"/>
        <color rgb="FF7F7F7F"/>
        <rFont val="Arial"/>
        <family val="0"/>
        <charset val="1"/>
      </rPr>
      <t xml:space="preserve">_tests.rs </t>
    </r>
    <r>
      <rPr>
        <i val="true"/>
        <sz val="8"/>
        <color rgb="FF7F7F7F"/>
        <rFont val="Noto Sans CJK SC"/>
        <family val="2"/>
      </rPr>
      <t xml:space="preserve">로 끝나거나 </t>
    </r>
    <r>
      <rPr>
        <i val="true"/>
        <sz val="8"/>
        <color rgb="FF7F7F7F"/>
        <rFont val="Arial"/>
        <family val="0"/>
        <charset val="1"/>
      </rPr>
      <t xml:space="preserve">crates/office2pdf/tests/ </t>
    </r>
    <r>
      <rPr>
        <i val="true"/>
        <sz val="8"/>
        <color rgb="FF7F7F7F"/>
        <rFont val="Noto Sans CJK SC"/>
        <family val="2"/>
      </rPr>
      <t xml:space="preserve">하위에 위치하면 </t>
    </r>
    <r>
      <rPr>
        <i val="true"/>
        <sz val="8"/>
        <color rgb="FF7F7F7F"/>
        <rFont val="Arial"/>
        <family val="0"/>
        <charset val="1"/>
      </rPr>
      <t xml:space="preserve">'</t>
    </r>
    <r>
      <rPr>
        <i val="true"/>
        <sz val="8"/>
        <color rgb="FF7F7F7F"/>
        <rFont val="Noto Sans CJK SC"/>
        <family val="2"/>
      </rPr>
      <t xml:space="preserve">테스트</t>
    </r>
    <r>
      <rPr>
        <i val="true"/>
        <sz val="8"/>
        <color rgb="FF7F7F7F"/>
        <rFont val="Arial"/>
        <family val="0"/>
        <charset val="1"/>
      </rPr>
      <t xml:space="preserve">'</t>
    </r>
    <r>
      <rPr>
        <i val="true"/>
        <sz val="8"/>
        <color rgb="FF7F7F7F"/>
        <rFont val="Noto Sans CJK SC"/>
        <family val="2"/>
      </rPr>
      <t xml:space="preserve">로 분류했습니다</t>
    </r>
    <r>
      <rPr>
        <i val="true"/>
        <sz val="8"/>
        <color rgb="FF7F7F7F"/>
        <rFont val="Arial"/>
        <family val="0"/>
        <charset val="1"/>
      </rPr>
      <t xml:space="preserve">. </t>
    </r>
    <r>
      <rPr>
        <i val="true"/>
        <sz val="8"/>
        <color rgb="FF7F7F7F"/>
        <rFont val="Noto Sans CJK SC"/>
        <family val="2"/>
      </rPr>
      <t xml:space="preserve">프로덕션 모듈과 테스트 모듈을 동일 디렉터리에 짝으로 배치하고 </t>
    </r>
    <r>
      <rPr>
        <i val="true"/>
        <sz val="8"/>
        <color rgb="FF7F7F7F"/>
        <rFont val="Arial"/>
        <family val="0"/>
        <charset val="1"/>
      </rPr>
      <t xml:space="preserve">#[path] </t>
    </r>
    <r>
      <rPr>
        <i val="true"/>
        <sz val="8"/>
        <color rgb="FF7F7F7F"/>
        <rFont val="Noto Sans CJK SC"/>
        <family val="2"/>
      </rPr>
      <t xml:space="preserve">어트리뷰트로 포함하는 것이 이 리포지터리의 관례입니다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</si>
  <si>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5"/>
        <color rgb="FFFFFFFF"/>
        <rFont val="Arial"/>
        <family val="0"/>
        <charset val="1"/>
      </rPr>
      <t xml:space="preserve">06. </t>
    </r>
    <r>
      <rPr>
        <b val="true"/>
        <sz val="15"/>
        <color rgb="FFFFFFFF"/>
        <rFont val="Noto Sans CJK SC"/>
        <family val="2"/>
      </rPr>
      <t xml:space="preserve">릴리스 이력 — 태그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배포일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핵심 변경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릴리스 간격</t>
    </r>
  </si>
  <si>
    <r>
      <rPr>
        <i val="true"/>
        <sz val="9"/>
        <color rgb="FF404040"/>
        <rFont val="Noto Sans CJK SC"/>
        <family val="2"/>
      </rPr>
      <t xml:space="preserve">출처</t>
    </r>
    <r>
      <rPr>
        <i val="true"/>
        <sz val="9"/>
        <color rgb="FF404040"/>
        <rFont val="Arial"/>
        <family val="0"/>
        <charset val="1"/>
      </rPr>
      <t xml:space="preserve">: GitHub Releases </t>
    </r>
    <r>
      <rPr>
        <i val="true"/>
        <sz val="9"/>
        <color rgb="FF404040"/>
        <rFont val="Noto Sans CJK SC"/>
        <family val="2"/>
      </rPr>
      <t xml:space="preserve">페이지</t>
    </r>
    <r>
      <rPr>
        <i val="true"/>
        <sz val="9"/>
        <color rgb="FF404040"/>
        <rFont val="Arial"/>
        <family val="0"/>
        <charset val="1"/>
      </rPr>
      <t xml:space="preserve">(2026-07-27 </t>
    </r>
    <r>
      <rPr>
        <i val="true"/>
        <sz val="9"/>
        <color rgb="FF404040"/>
        <rFont val="Noto Sans CJK SC"/>
        <family val="2"/>
      </rPr>
      <t xml:space="preserve">조회</t>
    </r>
    <r>
      <rPr>
        <i val="true"/>
        <sz val="9"/>
        <color rgb="FF404040"/>
        <rFont val="Arial"/>
        <family val="0"/>
        <charset val="1"/>
      </rPr>
      <t xml:space="preserve">) </t>
    </r>
    <r>
      <rPr>
        <i val="true"/>
        <sz val="9"/>
        <color rgb="FF404040"/>
        <rFont val="Noto Sans CJK SC"/>
        <family val="2"/>
      </rPr>
      <t xml:space="preserve">및 </t>
    </r>
    <r>
      <rPr>
        <i val="true"/>
        <sz val="9"/>
        <color rgb="FF404040"/>
        <rFont val="Arial"/>
        <family val="0"/>
        <charset val="1"/>
      </rPr>
      <t xml:space="preserve">git ls-remote --tags. </t>
    </r>
    <r>
      <rPr>
        <i val="true"/>
        <sz val="9"/>
        <color rgb="FF404040"/>
        <rFont val="Noto Sans CJK SC"/>
        <family val="2"/>
      </rPr>
      <t xml:space="preserve">경과일 열은 날짜 차이 수식으로 산출합니다</t>
    </r>
    <r>
      <rPr>
        <i val="true"/>
        <sz val="9"/>
        <color rgb="FF404040"/>
        <rFont val="Arial"/>
        <family val="0"/>
        <charset val="1"/>
      </rPr>
      <t xml:space="preserve">.</t>
    </r>
  </si>
  <si>
    <t xml:space="preserve">순번</t>
  </si>
  <si>
    <t xml:space="preserve">태그</t>
  </si>
  <si>
    <t xml:space="preserve">릴리스일</t>
  </si>
  <si>
    <t xml:space="preserve">배포 주체</t>
  </si>
  <si>
    <t xml:space="preserve">유형</t>
  </si>
  <si>
    <t xml:space="preserve">핵심 변경 요약</t>
  </si>
  <si>
    <t xml:space="preserve">이전 대비 경과일</t>
  </si>
  <si>
    <r>
      <rPr>
        <b val="true"/>
        <sz val="10"/>
        <color rgb="FFFFFFFF"/>
        <rFont val="Arial"/>
        <family val="0"/>
        <charset val="1"/>
      </rPr>
      <t xml:space="preserve">v0.2.0 </t>
    </r>
    <r>
      <rPr>
        <b val="true"/>
        <sz val="10"/>
        <color rgb="FFFFFFFF"/>
        <rFont val="Noto Sans CJK SC"/>
        <family val="2"/>
      </rPr>
      <t xml:space="preserve">기준 누적일</t>
    </r>
  </si>
  <si>
    <t xml:space="preserve">v0.1.0</t>
  </si>
  <si>
    <t xml:space="preserve">developer0hye</t>
  </si>
  <si>
    <t xml:space="preserve">초기 공개</t>
  </si>
  <si>
    <r>
      <rPr>
        <sz val="9"/>
        <color rgb="FF000000"/>
        <rFont val="Noto Sans CJK SC"/>
        <family val="2"/>
      </rPr>
      <t xml:space="preserve">초기 공개 버전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릴리스 목록 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페이지에 위치하여 본 수집에서는 날짜 미확인</t>
    </r>
    <r>
      <rPr>
        <sz val="9"/>
        <color rgb="FF000000"/>
        <rFont val="Arial"/>
        <family val="0"/>
        <charset val="1"/>
      </rPr>
      <t xml:space="preserve">)</t>
    </r>
  </si>
  <si>
    <t xml:space="preserve">v0.2.0</t>
  </si>
  <si>
    <t xml:space="preserve">기능 추가</t>
  </si>
  <si>
    <r>
      <rPr>
        <sz val="9"/>
        <color rgb="FF000000"/>
        <rFont val="Arial"/>
        <family val="0"/>
        <charset val="1"/>
      </rPr>
      <t xml:space="preserve">PPTX </t>
    </r>
    <r>
      <rPr>
        <sz val="9"/>
        <color rgb="FF000000"/>
        <rFont val="Noto Sans CJK SC"/>
        <family val="2"/>
      </rPr>
      <t xml:space="preserve">그라디언트 배경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도형 그림자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반사 효과</t>
    </r>
    <r>
      <rPr>
        <sz val="9"/>
        <color rgb="FF000000"/>
        <rFont val="Arial"/>
        <family val="0"/>
        <charset val="1"/>
      </rPr>
      <t xml:space="preserve">, XLSX DataBar·IconSet </t>
    </r>
    <r>
      <rPr>
        <sz val="9"/>
        <color rgb="FF000000"/>
        <rFont val="Noto Sans CJK SC"/>
        <family val="2"/>
      </rPr>
      <t xml:space="preserve">조건부 서식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성능 벤치마크 도입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실사용 픽스처 </t>
    </r>
    <r>
      <rPr>
        <sz val="9"/>
        <color rgb="FF000000"/>
        <rFont val="Arial"/>
        <family val="0"/>
        <charset val="1"/>
      </rPr>
      <t xml:space="preserve">27→147</t>
    </r>
    <r>
      <rPr>
        <sz val="9"/>
        <color rgb="FF000000"/>
        <rFont val="Noto Sans CJK SC"/>
        <family val="2"/>
      </rPr>
      <t xml:space="preserve">개 확대</t>
    </r>
  </si>
  <si>
    <t xml:space="preserve">v0.3.0</t>
  </si>
  <si>
    <t xml:space="preserve">플랫폼 확장</t>
  </si>
  <si>
    <r>
      <rPr>
        <sz val="9"/>
        <color rgb="FF000000"/>
        <rFont val="Arial"/>
        <family val="0"/>
        <charset val="1"/>
      </rPr>
      <t xml:space="preserve">WASM </t>
    </r>
    <r>
      <rPr>
        <sz val="9"/>
        <color rgb="FF000000"/>
        <rFont val="Noto Sans CJK SC"/>
        <family val="2"/>
      </rPr>
      <t xml:space="preserve">지원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조건부 컴파일 가드</t>
    </r>
    <r>
      <rPr>
        <sz val="9"/>
        <color rgb="FF000000"/>
        <rFont val="Arial"/>
        <family val="0"/>
        <charset val="1"/>
      </rPr>
      <t xml:space="preserve">, getrandom </t>
    </r>
    <r>
      <rPr>
        <sz val="9"/>
        <color rgb="FF000000"/>
        <rFont val="Noto Sans CJK SC"/>
        <family val="2"/>
      </rPr>
      <t xml:space="preserve">등 의존성 </t>
    </r>
    <r>
      <rPr>
        <sz val="9"/>
        <color rgb="FF000000"/>
        <rFont val="Arial"/>
        <family val="0"/>
        <charset val="1"/>
      </rPr>
      <t xml:space="preserve">WASM </t>
    </r>
    <r>
      <rPr>
        <sz val="9"/>
        <color rgb="FF000000"/>
        <rFont val="Noto Sans CJK SC"/>
        <family val="2"/>
      </rPr>
      <t xml:space="preserve">이슈 해소</t>
    </r>
    <r>
      <rPr>
        <sz val="9"/>
        <color rgb="FF000000"/>
        <rFont val="Arial"/>
        <family val="0"/>
        <charset val="1"/>
      </rPr>
      <t xml:space="preserve">, wasm-bindgen JS API 4</t>
    </r>
    <r>
      <rPr>
        <sz val="9"/>
        <color rgb="FF000000"/>
        <rFont val="Noto Sans CJK SC"/>
        <family val="2"/>
      </rPr>
      <t xml:space="preserve">함수</t>
    </r>
    <r>
      <rPr>
        <sz val="9"/>
        <color rgb="FF000000"/>
        <rFont val="Arial"/>
        <family val="0"/>
        <charset val="1"/>
      </rPr>
      <t xml:space="preserve">, CI</t>
    </r>
    <r>
      <rPr>
        <sz val="9"/>
        <color rgb="FF000000"/>
        <rFont val="Noto Sans CJK SC"/>
        <family val="2"/>
      </rPr>
      <t xml:space="preserve">에 </t>
    </r>
    <r>
      <rPr>
        <sz val="9"/>
        <color rgb="FF000000"/>
        <rFont val="Arial"/>
        <family val="0"/>
        <charset val="1"/>
      </rPr>
      <t xml:space="preserve">WASM </t>
    </r>
    <r>
      <rPr>
        <sz val="9"/>
        <color rgb="FF000000"/>
        <rFont val="Noto Sans CJK SC"/>
        <family val="2"/>
      </rPr>
      <t xml:space="preserve">검사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통합 테스트 추가</t>
    </r>
  </si>
  <si>
    <t xml:space="preserve">v0.4.0</t>
  </si>
  <si>
    <r>
      <rPr>
        <sz val="9"/>
        <color rgb="FF000000"/>
        <rFont val="Arial"/>
        <family val="0"/>
        <charset val="1"/>
      </rPr>
      <t xml:space="preserve">PPTX tableStyles.xml </t>
    </r>
    <r>
      <rPr>
        <sz val="9"/>
        <color rgb="FF000000"/>
        <rFont val="Noto Sans CJK SC"/>
        <family val="2"/>
      </rPr>
      <t xml:space="preserve">기반 테마 표 스타일</t>
    </r>
    <r>
      <rPr>
        <sz val="9"/>
        <color rgb="FF000000"/>
        <rFont val="Arial"/>
        <family val="0"/>
        <charset val="1"/>
      </rPr>
      <t xml:space="preserve">, tint/shade </t>
    </r>
    <r>
      <rPr>
        <sz val="9"/>
        <color rgb="FF000000"/>
        <rFont val="Noto Sans CJK SC"/>
        <family val="2"/>
      </rPr>
      <t xml:space="preserve">색 변환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커넥터 도형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임베드 폰트 추출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난독 해제</t>
    </r>
    <r>
      <rPr>
        <sz val="9"/>
        <color rgb="FF000000"/>
        <rFont val="Arial"/>
        <family val="0"/>
        <charset val="1"/>
      </rPr>
      <t xml:space="preserve">, macOS Office </t>
    </r>
    <r>
      <rPr>
        <sz val="9"/>
        <color rgb="FF000000"/>
        <rFont val="Noto Sans CJK SC"/>
        <family val="2"/>
      </rPr>
      <t xml:space="preserve">폰트 자동 탐색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대규모 모듈 리팩터링</t>
    </r>
  </si>
  <si>
    <t xml:space="preserve">v0.5.0</t>
  </si>
  <si>
    <t xml:space="preserve">충실도 개선</t>
  </si>
  <si>
    <r>
      <rPr>
        <sz val="9"/>
        <color rgb="FF000000"/>
        <rFont val="Arial"/>
        <family val="0"/>
        <charset val="1"/>
      </rPr>
      <t xml:space="preserve">PPTX homePlate </t>
    </r>
    <r>
      <rPr>
        <sz val="9"/>
        <color rgb="FF000000"/>
        <rFont val="Noto Sans CJK SC"/>
        <family val="2"/>
      </rPr>
      <t xml:space="preserve">도형</t>
    </r>
    <r>
      <rPr>
        <sz val="9"/>
        <color rgb="FF000000"/>
        <rFont val="Arial"/>
        <family val="0"/>
        <charset val="1"/>
      </rPr>
      <t xml:space="preserve">, fillRef/fontRef </t>
    </r>
    <r>
      <rPr>
        <sz val="9"/>
        <color rgb="FF000000"/>
        <rFont val="Noto Sans CJK SC"/>
        <family val="2"/>
      </rPr>
      <t xml:space="preserve">스타일 폴백</t>
    </r>
    <r>
      <rPr>
        <sz val="9"/>
        <color rgb="FF000000"/>
        <rFont val="Arial"/>
        <family val="0"/>
        <charset val="1"/>
      </rPr>
      <t xml:space="preserve">, custGeom </t>
    </r>
    <r>
      <rPr>
        <sz val="9"/>
        <color rgb="FF000000"/>
        <rFont val="Noto Sans CJK SC"/>
        <family val="2"/>
      </rPr>
      <t xml:space="preserve">렌더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마스터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레이아웃 자리표시자 처리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정렬을 </t>
    </r>
    <r>
      <rPr>
        <sz val="9"/>
        <color rgb="FF000000"/>
        <rFont val="Arial"/>
        <family val="0"/>
        <charset val="1"/>
      </rPr>
      <t xml:space="preserve">#set align()</t>
    </r>
    <r>
      <rPr>
        <sz val="9"/>
        <color rgb="FF000000"/>
        <rFont val="Noto Sans CJK SC"/>
        <family val="2"/>
      </rPr>
      <t xml:space="preserve">으로 전환</t>
    </r>
  </si>
  <si>
    <t xml:space="preserve">v0.6.0</t>
  </si>
  <si>
    <r>
      <rPr>
        <sz val="9"/>
        <color rgb="FF000000"/>
        <rFont val="Arial"/>
        <family val="0"/>
        <charset val="1"/>
      </rPr>
      <t xml:space="preserve">DOCX </t>
    </r>
    <r>
      <rPr>
        <sz val="9"/>
        <color rgb="FF000000"/>
        <rFont val="Noto Sans CJK SC"/>
        <family val="2"/>
      </rPr>
      <t xml:space="preserve">부동 드로잉 충실도</t>
    </r>
    <r>
      <rPr>
        <sz val="9"/>
        <color rgb="FF000000"/>
        <rFont val="Arial"/>
        <family val="0"/>
        <charset val="1"/>
      </rPr>
      <t xml:space="preserve">(issue #176), </t>
    </r>
    <r>
      <rPr>
        <sz val="9"/>
        <color rgb="FF000000"/>
        <rFont val="Noto Sans CJK SC"/>
        <family val="2"/>
      </rPr>
      <t xml:space="preserve">목록 연속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중첩 개선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코드 블록 강제 개행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구문 강조 유지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표 테두리 명시 렌더</t>
    </r>
    <r>
      <rPr>
        <sz val="9"/>
        <color rgb="FF000000"/>
        <rFont val="Arial"/>
        <family val="0"/>
        <charset val="1"/>
      </rPr>
      <t xml:space="preserve">, WASM </t>
    </r>
    <r>
      <rPr>
        <sz val="9"/>
        <color rgb="FF000000"/>
        <rFont val="Noto Sans CJK SC"/>
        <family val="2"/>
      </rPr>
      <t xml:space="preserve">안정성 개선</t>
    </r>
  </si>
  <si>
    <t xml:space="preserve">v0.6.1</t>
  </si>
  <si>
    <t xml:space="preserve">버그 수정</t>
  </si>
  <si>
    <r>
      <rPr>
        <sz val="9"/>
        <color rgb="FF000000"/>
        <rFont val="Arial"/>
        <family val="0"/>
        <charset val="1"/>
      </rPr>
      <t xml:space="preserve">DOCX </t>
    </r>
    <r>
      <rPr>
        <sz val="9"/>
        <color rgb="FF000000"/>
        <rFont val="Noto Sans CJK SC"/>
        <family val="2"/>
      </rPr>
      <t xml:space="preserve">머리글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바닥글 관계 파트의 인라인 이미지 유지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바닥글 </t>
    </r>
    <r>
      <rPr>
        <sz val="9"/>
        <color rgb="FF000000"/>
        <rFont val="Arial"/>
        <family val="0"/>
        <charset val="1"/>
      </rPr>
      <t xml:space="preserve">RTL </t>
    </r>
    <r>
      <rPr>
        <sz val="9"/>
        <color rgb="FF000000"/>
        <rFont val="Noto Sans CJK SC"/>
        <family val="2"/>
      </rPr>
      <t xml:space="preserve">방향 보존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다단락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이미지 바닥글 스택 정렬</t>
    </r>
    <r>
      <rPr>
        <sz val="9"/>
        <color rgb="FF000000"/>
        <rFont val="Arial"/>
        <family val="0"/>
        <charset val="1"/>
      </rPr>
      <t xml:space="preserve">, crates.io </t>
    </r>
    <r>
      <rPr>
        <sz val="9"/>
        <color rgb="FF000000"/>
        <rFont val="Noto Sans CJK SC"/>
        <family val="2"/>
      </rPr>
      <t xml:space="preserve">릴리스 워크플로 자동화</t>
    </r>
  </si>
  <si>
    <t xml:space="preserve">v0.6.2</t>
  </si>
  <si>
    <r>
      <rPr>
        <sz val="9"/>
        <color rgb="FF000000"/>
        <rFont val="Arial"/>
        <family val="0"/>
        <charset val="1"/>
      </rPr>
      <t xml:space="preserve">DOCX </t>
    </r>
    <r>
      <rPr>
        <sz val="9"/>
        <color rgb="FF000000"/>
        <rFont val="Noto Sans CJK SC"/>
        <family val="2"/>
      </rPr>
      <t xml:space="preserve">단순 필드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런 페이지 나눔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바닥글 레이아웃 보존</t>
    </r>
    <r>
      <rPr>
        <sz val="9"/>
        <color rgb="FF000000"/>
        <rFont val="Arial"/>
        <family val="0"/>
        <charset val="1"/>
      </rPr>
      <t xml:space="preserve">, EMF/WMF/VML/WPG </t>
    </r>
    <r>
      <rPr>
        <sz val="9"/>
        <color rgb="FF000000"/>
        <rFont val="Noto Sans CJK SC"/>
        <family val="2"/>
      </rPr>
      <t xml:space="preserve">이미지 충실도</t>
    </r>
    <r>
      <rPr>
        <sz val="9"/>
        <color rgb="FF000000"/>
        <rFont val="Arial"/>
        <family val="0"/>
        <charset val="1"/>
      </rPr>
      <t xml:space="preserve">, RTL </t>
    </r>
    <r>
      <rPr>
        <sz val="9"/>
        <color rgb="FF000000"/>
        <rFont val="Noto Sans CJK SC"/>
        <family val="2"/>
      </rPr>
      <t xml:space="preserve">표 시각 순서 및 병합 셀 조건부 음영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대량 변환 기준선 </t>
    </r>
    <r>
      <rPr>
        <sz val="9"/>
        <color rgb="FF000000"/>
        <rFont val="Arial"/>
        <family val="0"/>
        <charset val="1"/>
      </rPr>
      <t xml:space="preserve">CI </t>
    </r>
    <r>
      <rPr>
        <sz val="9"/>
        <color rgb="FF000000"/>
        <rFont val="Noto Sans CJK SC"/>
        <family val="2"/>
      </rPr>
      <t xml:space="preserve">게이트 추가</t>
    </r>
  </si>
  <si>
    <t xml:space="preserve">v0.6.3</t>
  </si>
  <si>
    <r>
      <rPr>
        <sz val="9"/>
        <color rgb="FF000000"/>
        <rFont val="Arial"/>
        <family val="0"/>
        <charset val="1"/>
      </rPr>
      <t xml:space="preserve">XLSX </t>
    </r>
    <r>
      <rPr>
        <sz val="9"/>
        <color rgb="FF000000"/>
        <rFont val="Noto Sans CJK SC"/>
        <family val="2"/>
      </rPr>
      <t xml:space="preserve">인쇄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렌더 충실도 대폭 개선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페이지네이션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인쇄 제목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이미지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텍스트 상자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차트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조건부 서식</t>
    </r>
    <r>
      <rPr>
        <sz val="9"/>
        <color rgb="FF000000"/>
        <rFont val="Arial"/>
        <family val="0"/>
        <charset val="1"/>
      </rPr>
      <t xml:space="preserve">), PPTX </t>
    </r>
    <r>
      <rPr>
        <sz val="9"/>
        <color rgb="FF000000"/>
        <rFont val="Noto Sans CJK SC"/>
        <family val="2"/>
      </rPr>
      <t xml:space="preserve">배경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차트</t>
    </r>
    <r>
      <rPr>
        <sz val="9"/>
        <color rgb="FF000000"/>
        <rFont val="Arial"/>
        <family val="0"/>
        <charset val="1"/>
      </rPr>
      <t xml:space="preserve">/SmartArt </t>
    </r>
    <r>
      <rPr>
        <sz val="9"/>
        <color rgb="FF000000"/>
        <rFont val="Noto Sans CJK SC"/>
        <family val="2"/>
      </rPr>
      <t xml:space="preserve">확장</t>
    </r>
    <r>
      <rPr>
        <sz val="9"/>
        <color rgb="FF000000"/>
        <rFont val="Arial"/>
        <family val="0"/>
        <charset val="1"/>
      </rPr>
      <t xml:space="preserve">, 6</t>
    </r>
    <r>
      <rPr>
        <sz val="9"/>
        <color rgb="FF000000"/>
        <rFont val="Noto Sans CJK SC"/>
        <family val="2"/>
      </rPr>
      <t xml:space="preserve">개 플랫폼 프리빌트 </t>
    </r>
    <r>
      <rPr>
        <sz val="9"/>
        <color rgb="FF000000"/>
        <rFont val="Arial"/>
        <family val="0"/>
        <charset val="1"/>
      </rPr>
      <t xml:space="preserve">CLI </t>
    </r>
    <r>
      <rPr>
        <sz val="9"/>
        <color rgb="FF000000"/>
        <rFont val="Noto Sans CJK SC"/>
        <family val="2"/>
      </rPr>
      <t xml:space="preserve">아카이브 추가</t>
    </r>
    <r>
      <rPr>
        <sz val="9"/>
        <color rgb="FF000000"/>
        <rFont val="Arial"/>
        <family val="0"/>
        <charset val="1"/>
      </rPr>
      <t xml:space="preserve">, crates.io </t>
    </r>
    <r>
      <rPr>
        <sz val="9"/>
        <color rgb="FF000000"/>
        <rFont val="Noto Sans CJK SC"/>
        <family val="2"/>
      </rPr>
      <t xml:space="preserve">패키지 이식성 수정</t>
    </r>
  </si>
  <si>
    <t xml:space="preserve">github-actions</t>
  </si>
  <si>
    <r>
      <rPr>
        <sz val="9"/>
        <color rgb="FF000000"/>
        <rFont val="Arial"/>
        <family val="0"/>
        <charset val="1"/>
      </rPr>
      <t xml:space="preserve">PPTX </t>
    </r>
    <r>
      <rPr>
        <sz val="9"/>
        <color rgb="FF000000"/>
        <rFont val="Noto Sans CJK SC"/>
        <family val="2"/>
      </rPr>
      <t xml:space="preserve">그림자 블러 근사</t>
    </r>
    <r>
      <rPr>
        <sz val="9"/>
        <color rgb="FF000000"/>
        <rFont val="Arial"/>
        <family val="0"/>
        <charset val="1"/>
      </rPr>
      <t xml:space="preserve">(#400), DOCX </t>
    </r>
    <r>
      <rPr>
        <sz val="9"/>
        <color rgb="FF000000"/>
        <rFont val="Noto Sans CJK SC"/>
        <family val="2"/>
      </rPr>
      <t xml:space="preserve">탭 정지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격자 행간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표 셀 행 높이</t>
    </r>
    <r>
      <rPr>
        <sz val="9"/>
        <color rgb="FF000000"/>
        <rFont val="Arial"/>
        <family val="0"/>
        <charset val="1"/>
      </rPr>
      <t xml:space="preserve">(#401·#403·#405·#409), XLSX IconSet </t>
    </r>
    <r>
      <rPr>
        <sz val="9"/>
        <color rgb="FF000000"/>
        <rFont val="Noto Sans CJK SC"/>
        <family val="2"/>
      </rPr>
      <t xml:space="preserve">임계값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삼각형 아이콘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셀 채움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인쇄 행 기하</t>
    </r>
    <r>
      <rPr>
        <sz val="9"/>
        <color rgb="FF000000"/>
        <rFont val="Arial"/>
        <family val="0"/>
        <charset val="1"/>
      </rPr>
      <t xml:space="preserve">(#407·#408·#410·#412), </t>
    </r>
    <r>
      <rPr>
        <sz val="9"/>
        <color rgb="FF000000"/>
        <rFont val="Noto Sans CJK SC"/>
        <family val="2"/>
      </rPr>
      <t xml:space="preserve">비즈니스 골든 목 코퍼스 도입</t>
    </r>
  </si>
  <si>
    <t xml:space="preserve">릴리스 총 건수</t>
  </si>
  <si>
    <t xml:space="preserve">날짜 확인된 릴리스</t>
  </si>
  <si>
    <r>
      <rPr>
        <b val="true"/>
        <sz val="10"/>
        <rFont val="Noto Sans CJK SC"/>
        <family val="2"/>
      </rPr>
      <t xml:space="preserve">평균 릴리스 간격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</si>
  <si>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최단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최장 간격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</si>
  <si>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v0.2.0 → v0.6.4 </t>
    </r>
    <r>
      <rPr>
        <b val="true"/>
        <sz val="10"/>
        <rFont val="Noto Sans CJK SC"/>
        <family val="2"/>
      </rPr>
      <t xml:space="preserve">총 기간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</si>
  <si>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v0.6.x </t>
    </r>
    <r>
      <rPr>
        <b val="true"/>
        <sz val="10"/>
        <rFont val="Noto Sans CJK SC"/>
        <family val="2"/>
      </rPr>
      <t xml:space="preserve">계열 릴리스 수</t>
    </r>
  </si>
  <si>
    <r>
      <rPr>
        <i val="true"/>
        <sz val="8"/>
        <color rgb="FF7F7F7F"/>
        <rFont val="Arial"/>
        <family val="0"/>
        <charset val="1"/>
      </rPr>
      <t xml:space="preserve">v0.6.x </t>
    </r>
    <r>
      <rPr>
        <i val="true"/>
        <sz val="8"/>
        <color rgb="FF7F7F7F"/>
        <rFont val="Noto Sans CJK SC"/>
        <family val="2"/>
      </rPr>
      <t xml:space="preserve">계열 </t>
    </r>
    <r>
      <rPr>
        <i val="true"/>
        <sz val="8"/>
        <color rgb="FF7F7F7F"/>
        <rFont val="Arial"/>
        <family val="0"/>
        <charset val="1"/>
      </rPr>
      <t xml:space="preserve">5</t>
    </r>
    <r>
      <rPr>
        <i val="true"/>
        <sz val="8"/>
        <color rgb="FF7F7F7F"/>
        <rFont val="Noto Sans CJK SC"/>
        <family val="2"/>
      </rPr>
      <t xml:space="preserve">건이 </t>
    </r>
    <r>
      <rPr>
        <i val="true"/>
        <sz val="8"/>
        <color rgb="FF7F7F7F"/>
        <rFont val="Arial"/>
        <family val="0"/>
        <charset val="1"/>
      </rPr>
      <t xml:space="preserve">2026-06-01 ~ 2026-07-23 </t>
    </r>
    <r>
      <rPr>
        <i val="true"/>
        <sz val="8"/>
        <color rgb="FF7F7F7F"/>
        <rFont val="Noto Sans CJK SC"/>
        <family val="2"/>
      </rPr>
      <t xml:space="preserve">사이에 집중되어 있으며</t>
    </r>
    <r>
      <rPr>
        <i val="true"/>
        <sz val="8"/>
        <color rgb="FF7F7F7F"/>
        <rFont val="Arial"/>
        <family val="0"/>
        <charset val="1"/>
      </rPr>
      <t xml:space="preserve">, </t>
    </r>
    <r>
      <rPr>
        <i val="true"/>
        <sz val="8"/>
        <color rgb="FF7F7F7F"/>
        <rFont val="Noto Sans CJK SC"/>
        <family val="2"/>
      </rPr>
      <t xml:space="preserve">이 기간의 변경은 대부분 시각 회귀 증적을 첨부한 충실도</t>
    </r>
    <r>
      <rPr>
        <i val="true"/>
        <sz val="8"/>
        <color rgb="FF7F7F7F"/>
        <rFont val="Arial"/>
        <family val="0"/>
        <charset val="1"/>
      </rPr>
      <t xml:space="preserve">(fidelity) </t>
    </r>
    <r>
      <rPr>
        <i val="true"/>
        <sz val="8"/>
        <color rgb="FF7F7F7F"/>
        <rFont val="Noto Sans CJK SC"/>
        <family val="2"/>
      </rPr>
      <t xml:space="preserve">버그 수정입니다</t>
    </r>
    <r>
      <rPr>
        <i val="true"/>
        <sz val="8"/>
        <color rgb="FF7F7F7F"/>
        <rFont val="Arial"/>
        <family val="0"/>
        <charset val="1"/>
      </rPr>
      <t xml:space="preserve">. v0.6.4</t>
    </r>
    <r>
      <rPr>
        <i val="true"/>
        <sz val="8"/>
        <color rgb="FF7F7F7F"/>
        <rFont val="Noto Sans CJK SC"/>
        <family val="2"/>
      </rPr>
      <t xml:space="preserve">는 </t>
    </r>
    <r>
      <rPr>
        <i val="true"/>
        <sz val="8"/>
        <color rgb="FF7F7F7F"/>
        <rFont val="Arial"/>
        <family val="0"/>
        <charset val="1"/>
      </rPr>
      <t xml:space="preserve">GitHub Actions</t>
    </r>
    <r>
      <rPr>
        <i val="true"/>
        <sz val="8"/>
        <color rgb="FF7F7F7F"/>
        <rFont val="Noto Sans CJK SC"/>
        <family val="2"/>
      </rPr>
      <t xml:space="preserve">에 의해 자동 배포되었습니다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</si>
  <si>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5"/>
        <color rgb="FFFFFFFF"/>
        <rFont val="Arial"/>
        <family val="0"/>
        <charset val="1"/>
      </rPr>
      <t xml:space="preserve">07. </t>
    </r>
    <r>
      <rPr>
        <b val="true"/>
        <sz val="15"/>
        <color rgb="FFFFFFFF"/>
        <rFont val="Noto Sans CJK SC"/>
        <family val="2"/>
      </rPr>
      <t xml:space="preserve">검증 체계 — </t>
    </r>
    <r>
      <rPr>
        <b val="true"/>
        <sz val="15"/>
        <color rgb="FFFFFFFF"/>
        <rFont val="Arial"/>
        <family val="0"/>
        <charset val="1"/>
      </rPr>
      <t xml:space="preserve">CI </t>
    </r>
    <r>
      <rPr>
        <b val="true"/>
        <sz val="15"/>
        <color rgb="FFFFFFFF"/>
        <rFont val="Noto Sans CJK SC"/>
        <family val="2"/>
      </rPr>
      <t xml:space="preserve">품질 게이트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픽스처 코퍼스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회귀 증적</t>
    </r>
  </si>
  <si>
    <r>
      <rPr>
        <i val="true"/>
        <sz val="9"/>
        <color rgb="FF404040"/>
        <rFont val="Noto Sans CJK SC"/>
        <family val="2"/>
      </rPr>
      <t xml:space="preserve">출처</t>
    </r>
    <r>
      <rPr>
        <i val="true"/>
        <sz val="9"/>
        <color rgb="FF404040"/>
        <rFont val="Arial"/>
        <family val="0"/>
        <charset val="1"/>
      </rPr>
      <t xml:space="preserve">: .github/workflows/ci.yml, tests/ </t>
    </r>
    <r>
      <rPr>
        <i val="true"/>
        <sz val="9"/>
        <color rgb="FF404040"/>
        <rFont val="Noto Sans CJK SC"/>
        <family val="2"/>
      </rPr>
      <t xml:space="preserve">디렉터리 실측</t>
    </r>
    <r>
      <rPr>
        <i val="true"/>
        <sz val="9"/>
        <color rgb="FF404040"/>
        <rFont val="Arial"/>
        <family val="0"/>
        <charset val="1"/>
      </rPr>
      <t xml:space="preserve">, fixtures-v1 </t>
    </r>
    <r>
      <rPr>
        <i val="true"/>
        <sz val="9"/>
        <color rgb="FF404040"/>
        <rFont val="Noto Sans CJK SC"/>
        <family val="2"/>
      </rPr>
      <t xml:space="preserve">릴리스 노트</t>
    </r>
    <r>
      <rPr>
        <i val="true"/>
        <sz val="9"/>
        <color rgb="FF404040"/>
        <rFont val="Arial"/>
        <family val="0"/>
        <charset val="1"/>
      </rPr>
      <t xml:space="preserve">, AGENTS/RELEASING </t>
    </r>
    <r>
      <rPr>
        <i val="true"/>
        <sz val="9"/>
        <color rgb="FF404040"/>
        <rFont val="Noto Sans CJK SC"/>
        <family val="2"/>
      </rPr>
      <t xml:space="preserve">관례</t>
    </r>
    <r>
      <rPr>
        <i val="true"/>
        <sz val="9"/>
        <color rgb="FF404040"/>
        <rFont val="Arial"/>
        <family val="0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</si>
  <si>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1. CI </t>
    </r>
    <r>
      <rPr>
        <b val="true"/>
        <sz val="11"/>
        <color rgb="FF1F3864"/>
        <rFont val="Noto Sans CJK SC"/>
        <family val="2"/>
      </rPr>
      <t xml:space="preserve">워크플로 잡 </t>
    </r>
    <r>
      <rPr>
        <b val="true"/>
        <sz val="11"/>
        <color rgb="FF1F3864"/>
        <rFont val="Arial"/>
        <family val="0"/>
        <charset val="1"/>
      </rPr>
      <t xml:space="preserve">(.github/workflows/ci.yml)</t>
    </r>
  </si>
  <si>
    <r>
      <rPr>
        <i val="true"/>
        <sz val="8"/>
        <color rgb="FF7F7F7F"/>
        <rFont val="Noto Sans CJK SC"/>
        <family val="2"/>
      </rPr>
      <t xml:space="preserve">트리거</t>
    </r>
    <r>
      <rPr>
        <i val="true"/>
        <sz val="8"/>
        <color rgb="FF7F7F7F"/>
        <rFont val="Arial"/>
        <family val="0"/>
        <charset val="1"/>
      </rPr>
      <t xml:space="preserve">: push / pull_request. check·test </t>
    </r>
    <r>
      <rPr>
        <i val="true"/>
        <sz val="8"/>
        <color rgb="FF7F7F7F"/>
        <rFont val="Noto Sans CJK SC"/>
        <family val="2"/>
      </rPr>
      <t xml:space="preserve">잡은 </t>
    </r>
    <r>
      <rPr>
        <i val="true"/>
        <sz val="8"/>
        <color rgb="FF7F7F7F"/>
        <rFont val="Arial"/>
        <family val="0"/>
        <charset val="1"/>
      </rPr>
      <t xml:space="preserve">ubuntu-latest, windows-latest, macos-latest 3</t>
    </r>
    <r>
      <rPr>
        <i val="true"/>
        <sz val="8"/>
        <color rgb="FF7F7F7F"/>
        <rFont val="Noto Sans CJK SC"/>
        <family val="2"/>
      </rPr>
      <t xml:space="preserve">중 매트릭스로 실행됩니다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</si>
  <si>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잡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</si>
  <si>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표시명</t>
  </si>
  <si>
    <t xml:space="preserve">러너</t>
  </si>
  <si>
    <t xml:space="preserve">목적 및 게이트 성격</t>
  </si>
  <si>
    <t xml:space="preserve">release-contract</t>
  </si>
  <si>
    <t xml:space="preserve">Release Automation Contract</t>
  </si>
  <si>
    <t xml:space="preserve">ubuntu-latest</t>
  </si>
  <si>
    <r>
      <rPr>
        <sz val="10"/>
        <color rgb="FF000000"/>
        <rFont val="Noto Sans CJK SC"/>
        <family val="2"/>
      </rPr>
      <t xml:space="preserve">릴리스 자동화 계약 검증 — 버전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태그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워크플로 정합성 확인</t>
    </r>
  </si>
  <si>
    <t xml:space="preserve">business-golden-contract</t>
  </si>
  <si>
    <t xml:space="preserve">Business Golden Contract</t>
  </si>
  <si>
    <r>
      <rPr>
        <sz val="10"/>
        <color rgb="FF000000"/>
        <rFont val="Noto Sans CJK SC"/>
        <family val="2"/>
      </rPr>
      <t xml:space="preserve">비즈니스 골든 목 코퍼스 검증</t>
    </r>
    <r>
      <rPr>
        <sz val="10"/>
        <color rgb="FF000000"/>
        <rFont val="Arial"/>
        <family val="0"/>
        <charset val="1"/>
      </rPr>
      <t xml:space="preserve">(scripts/validate_business_golden_mocks.py)</t>
    </r>
  </si>
  <si>
    <t xml:space="preserve">visual-pr-contract</t>
  </si>
  <si>
    <t xml:space="preserve">Visual PR Contract</t>
  </si>
  <si>
    <r>
      <rPr>
        <sz val="10"/>
        <color rgb="FF000000"/>
        <rFont val="Noto Sans CJK SC"/>
        <family val="2"/>
      </rPr>
      <t xml:space="preserve">버그 수정 </t>
    </r>
    <r>
      <rPr>
        <sz val="10"/>
        <color rgb="FF000000"/>
        <rFont val="Arial"/>
        <family val="0"/>
        <charset val="1"/>
      </rPr>
      <t xml:space="preserve">PR</t>
    </r>
    <r>
      <rPr>
        <sz val="10"/>
        <color rgb="FF000000"/>
        <rFont val="Noto Sans CJK SC"/>
        <family val="2"/>
      </rPr>
      <t xml:space="preserve">의 </t>
    </r>
    <r>
      <rPr>
        <sz val="10"/>
        <color rgb="FF000000"/>
        <rFont val="Arial"/>
        <family val="0"/>
        <charset val="1"/>
      </rPr>
      <t xml:space="preserve">before/after </t>
    </r>
    <r>
      <rPr>
        <sz val="10"/>
        <color rgb="FF000000"/>
        <rFont val="Noto Sans CJK SC"/>
        <family val="2"/>
      </rPr>
      <t xml:space="preserve">시각 증적 첨부 강제</t>
    </r>
    <r>
      <rPr>
        <sz val="10"/>
        <color rgb="FF000000"/>
        <rFont val="Arial"/>
        <family val="0"/>
        <charset val="1"/>
      </rPr>
      <t xml:space="preserve">(scripts/check_visual_pr.py)</t>
    </r>
  </si>
  <si>
    <t xml:space="preserve">check</t>
  </si>
  <si>
    <t xml:space="preserve">Check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</si>
  <si>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중 </t>
    </r>
    <r>
      <rPr>
        <sz val="10"/>
        <color rgb="FF000000"/>
        <rFont val="Arial"/>
        <family val="0"/>
        <charset val="1"/>
      </rPr>
      <t xml:space="preserve">OS </t>
    </r>
    <r>
      <rPr>
        <sz val="10"/>
        <color rgb="FF000000"/>
        <rFont val="Noto Sans CJK SC"/>
        <family val="2"/>
      </rPr>
      <t xml:space="preserve">매트릭스</t>
    </r>
  </si>
  <si>
    <r>
      <rPr>
        <sz val="10"/>
        <color rgb="FF000000"/>
        <rFont val="Arial"/>
        <family val="0"/>
        <charset val="1"/>
      </rPr>
      <t xml:space="preserve">cargo check — </t>
    </r>
    <r>
      <rPr>
        <sz val="10"/>
        <color rgb="FF000000"/>
        <rFont val="Noto Sans CJK SC"/>
        <family val="2"/>
      </rPr>
      <t xml:space="preserve">컴파일 가능성 확인</t>
    </r>
  </si>
  <si>
    <t xml:space="preserve">test</t>
  </si>
  <si>
    <t xml:space="preserve">Test</t>
  </si>
  <si>
    <r>
      <rPr>
        <sz val="10"/>
        <color rgb="FF000000"/>
        <rFont val="Arial"/>
        <family val="0"/>
        <charset val="1"/>
      </rPr>
      <t xml:space="preserve">cargo test --workspace — </t>
    </r>
    <r>
      <rPr>
        <sz val="10"/>
        <color rgb="FF000000"/>
        <rFont val="Noto Sans CJK SC"/>
        <family val="2"/>
      </rPr>
      <t xml:space="preserve">단위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통합 테스트 전량 실행</t>
    </r>
  </si>
  <si>
    <t xml:space="preserve">clippy</t>
  </si>
  <si>
    <t xml:space="preserve">Clippy</t>
  </si>
  <si>
    <t xml:space="preserve">린트 게이트 — 경고를 오류로 취급</t>
  </si>
  <si>
    <t xml:space="preserve">wasm-check</t>
  </si>
  <si>
    <t xml:space="preserve">WASM Check &amp; Test</t>
  </si>
  <si>
    <r>
      <rPr>
        <sz val="10"/>
        <color rgb="FF000000"/>
        <rFont val="Arial"/>
        <family val="0"/>
        <charset val="1"/>
      </rPr>
      <t xml:space="preserve">wasm32 </t>
    </r>
    <r>
      <rPr>
        <sz val="10"/>
        <color rgb="FF000000"/>
        <rFont val="Noto Sans CJK SC"/>
        <family val="2"/>
      </rPr>
      <t xml:space="preserve">무피처 빌드 </t>
    </r>
    <r>
      <rPr>
        <sz val="10"/>
        <color rgb="FF000000"/>
        <rFont val="Arial"/>
        <family val="0"/>
        <charset val="1"/>
      </rPr>
      <t xml:space="preserve">+ wasm-pack </t>
    </r>
    <r>
      <rPr>
        <sz val="10"/>
        <color rgb="FF000000"/>
        <rFont val="Noto Sans CJK SC"/>
        <family val="2"/>
      </rPr>
      <t xml:space="preserve">통합 테스트</t>
    </r>
  </si>
  <si>
    <t xml:space="preserve">fmt</t>
  </si>
  <si>
    <r>
      <rPr>
        <sz val="10"/>
        <color rgb="FF000000"/>
        <rFont val="Arial"/>
        <family val="0"/>
        <charset val="1"/>
      </rPr>
      <t xml:space="preserve">cargo fmt --check — </t>
    </r>
    <r>
      <rPr>
        <sz val="10"/>
        <color rgb="FF000000"/>
        <rFont val="Noto Sans CJK SC"/>
        <family val="2"/>
      </rPr>
      <t xml:space="preserve">서식 일관성</t>
    </r>
  </si>
  <si>
    <t xml:space="preserve">bulk-test</t>
  </si>
  <si>
    <t xml:space="preserve">Bulk Third-Party Fixture Test</t>
  </si>
  <si>
    <r>
      <rPr>
        <sz val="10"/>
        <color rgb="FF000000"/>
        <rFont val="Noto Sans CJK SC"/>
        <family val="2"/>
      </rPr>
      <t xml:space="preserve">외부 대량 코퍼스 회귀 게이트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기준선 대조</t>
    </r>
    <r>
      <rPr>
        <sz val="10"/>
        <color rgb="FF000000"/>
        <rFont val="Arial"/>
        <family val="0"/>
        <charset val="1"/>
      </rPr>
      <t xml:space="preserve">, #[ignore] </t>
    </r>
    <r>
      <rPr>
        <sz val="10"/>
        <color rgb="FF000000"/>
        <rFont val="Noto Sans CJK SC"/>
        <family val="2"/>
      </rPr>
      <t xml:space="preserve">해제 실행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</si>
  <si>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1F3864"/>
        <rFont val="Arial"/>
        <family val="0"/>
        <charset val="1"/>
      </rPr>
      <t xml:space="preserve">2. </t>
    </r>
    <r>
      <rPr>
        <b val="true"/>
        <sz val="11"/>
        <color rgb="FF1F3864"/>
        <rFont val="Noto Sans CJK SC"/>
        <family val="2"/>
      </rPr>
      <t xml:space="preserve">테스트 픽스처 코퍼스</t>
    </r>
  </si>
  <si>
    <t xml:space="preserve">위치</t>
  </si>
  <si>
    <t xml:space="preserve">수량</t>
  </si>
  <si>
    <r>
      <rPr>
        <sz val="10"/>
        <color rgb="FF000000"/>
        <rFont val="Noto Sans CJK SC"/>
        <family val="2"/>
      </rPr>
      <t xml:space="preserve">커밋 픽스처 — </t>
    </r>
    <r>
      <rPr>
        <sz val="10"/>
        <color rgb="FF000000"/>
        <rFont val="Arial"/>
        <family val="0"/>
        <charset val="1"/>
      </rPr>
      <t xml:space="preserve">DOCX</t>
    </r>
  </si>
  <si>
    <t xml:space="preserve">tests/fixtures/docx/</t>
  </si>
  <si>
    <r>
      <rPr>
        <sz val="10"/>
        <color rgb="FF000000"/>
        <rFont val="Noto Sans CJK SC"/>
        <family val="2"/>
      </rPr>
      <t xml:space="preserve">책갈피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체크박스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변경 추적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미주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필드 코드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중첩 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드로잉 등</t>
    </r>
  </si>
  <si>
    <r>
      <rPr>
        <sz val="10"/>
        <color rgb="FF000000"/>
        <rFont val="Noto Sans CJK SC"/>
        <family val="2"/>
      </rPr>
      <t xml:space="preserve">커밋 픽스처 — </t>
    </r>
    <r>
      <rPr>
        <sz val="10"/>
        <color rgb="FF000000"/>
        <rFont val="Arial"/>
        <family val="0"/>
        <charset val="1"/>
      </rPr>
      <t xml:space="preserve">PPTX</t>
    </r>
  </si>
  <si>
    <t xml:space="preserve">tests/fixtures/pptx/</t>
  </si>
  <si>
    <r>
      <rPr>
        <sz val="10"/>
        <color rgb="FF000000"/>
        <rFont val="Noto Sans CJK SC"/>
        <family val="2"/>
      </rPr>
      <t xml:space="preserve">차트</t>
    </r>
    <r>
      <rPr>
        <sz val="10"/>
        <color rgb="FF000000"/>
        <rFont val="Arial"/>
        <family val="0"/>
        <charset val="1"/>
      </rPr>
      <t xml:space="preserve">·SmartArt·</t>
    </r>
    <r>
      <rPr>
        <sz val="10"/>
        <color rgb="FF000000"/>
        <rFont val="Noto Sans CJK SC"/>
        <family val="2"/>
      </rPr>
      <t xml:space="preserve">임베드 미디어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테마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일본어 텍스트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애니메이션</t>
    </r>
  </si>
  <si>
    <r>
      <rPr>
        <sz val="10"/>
        <color rgb="FF000000"/>
        <rFont val="Noto Sans CJK SC"/>
        <family val="2"/>
      </rPr>
      <t xml:space="preserve">커밋 픽스처 — </t>
    </r>
    <r>
      <rPr>
        <sz val="10"/>
        <color rgb="FF000000"/>
        <rFont val="Arial"/>
        <family val="0"/>
        <charset val="1"/>
      </rPr>
      <t xml:space="preserve">XLSX</t>
    </r>
  </si>
  <si>
    <t xml:space="preserve">tests/fixtures/xlsx/</t>
  </si>
  <si>
    <r>
      <rPr>
        <sz val="10"/>
        <color rgb="FF000000"/>
        <rFont val="Noto Sans CJK SC"/>
        <family val="2"/>
      </rPr>
      <t xml:space="preserve">피벗 테이블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수식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인라인 문자열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그룹 행</t>
    </r>
    <r>
      <rPr>
        <sz val="10"/>
        <color rgb="FF000000"/>
        <rFont val="Arial"/>
        <family val="0"/>
        <charset val="1"/>
      </rPr>
      <t xml:space="preserve">·RTL·</t>
    </r>
    <r>
      <rPr>
        <sz val="10"/>
        <color rgb="FF000000"/>
        <rFont val="Noto Sans CJK SC"/>
        <family val="2"/>
      </rPr>
      <t xml:space="preserve">차트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불리언</t>
    </r>
  </si>
  <si>
    <t xml:space="preserve">커밋 픽스처 합계</t>
  </si>
  <si>
    <r>
      <rPr>
        <sz val="9"/>
        <rFont val="Noto Sans CJK SC"/>
        <family val="2"/>
      </rPr>
      <t xml:space="preserve">개방 라이선스</t>
    </r>
    <r>
      <rPr>
        <sz val="9"/>
        <rFont val="Arial"/>
        <family val="0"/>
        <charset val="1"/>
      </rPr>
      <t xml:space="preserve">(CC0 / Apache-2.0 / MIT) </t>
    </r>
    <r>
      <rPr>
        <sz val="9"/>
        <rFont val="Noto Sans CJK SC"/>
        <family val="2"/>
      </rPr>
      <t xml:space="preserve">출처의 실사용 문서 집합</t>
    </r>
  </si>
  <si>
    <t xml:space="preserve">골든 목 — 원본 문서</t>
  </si>
  <si>
    <t xml:space="preserve">tests/golden_mocks/business/</t>
  </si>
  <si>
    <r>
      <rPr>
        <sz val="10"/>
        <color rgb="FF000000"/>
        <rFont val="Noto Sans CJK SC"/>
        <family val="2"/>
      </rPr>
      <t xml:space="preserve">비즈니스 시나리오 </t>
    </r>
    <r>
      <rPr>
        <sz val="10"/>
        <color rgb="FF000000"/>
        <rFont val="Arial"/>
        <family val="0"/>
        <charset val="1"/>
      </rPr>
      <t xml:space="preserve">DOCX/PPTX/XLSX </t>
    </r>
    <r>
      <rPr>
        <sz val="10"/>
        <color rgb="FF000000"/>
        <rFont val="Noto Sans CJK SC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(v0.6.4 </t>
    </r>
    <r>
      <rPr>
        <sz val="10"/>
        <color rgb="FF000000"/>
        <rFont val="Noto Sans CJK SC"/>
        <family val="2"/>
      </rPr>
      <t xml:space="preserve">도입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</si>
  <si>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골든 목 — 기준 </t>
    </r>
    <r>
      <rPr>
        <sz val="10"/>
        <color rgb="FF000000"/>
        <rFont val="Arial"/>
        <family val="0"/>
        <charset val="1"/>
      </rPr>
      <t xml:space="preserve">PDF</t>
    </r>
  </si>
  <si>
    <r>
      <rPr>
        <sz val="10"/>
        <color rgb="FF000000"/>
        <rFont val="Noto Sans CJK SC"/>
        <family val="2"/>
      </rPr>
      <t xml:space="preserve">원본 대응 기준 </t>
    </r>
    <r>
      <rPr>
        <sz val="10"/>
        <color rgb="FF000000"/>
        <rFont val="Arial"/>
        <family val="0"/>
        <charset val="1"/>
      </rPr>
      <t xml:space="preserve">PDF 30</t>
    </r>
    <r>
      <rPr>
        <sz val="10"/>
        <color rgb="FF000000"/>
        <rFont val="Noto Sans CJK SC"/>
        <family val="2"/>
      </rPr>
      <t xml:space="preserve">건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메타데이터 </t>
    </r>
    <r>
      <rPr>
        <sz val="10"/>
        <color rgb="FF000000"/>
        <rFont val="Arial"/>
        <family val="0"/>
        <charset val="1"/>
      </rPr>
      <t xml:space="preserve">JSON 2</t>
    </r>
    <r>
      <rPr>
        <sz val="10"/>
        <color rgb="FF000000"/>
        <rFont val="Noto Sans CJK SC"/>
        <family val="2"/>
      </rPr>
      <t xml:space="preserve">건</t>
    </r>
  </si>
  <si>
    <t xml:space="preserve">외부 대량 코퍼스</t>
  </si>
  <si>
    <r>
      <rPr>
        <sz val="10"/>
        <color rgb="FF000000"/>
        <rFont val="Arial"/>
        <family val="0"/>
        <charset val="1"/>
      </rPr>
      <t xml:space="preserve">fixtures-v1 </t>
    </r>
    <r>
      <rPr>
        <sz val="10"/>
        <color rgb="FF000000"/>
        <rFont val="Noto Sans CJK SC"/>
        <family val="2"/>
      </rPr>
      <t xml:space="preserve">릴리스 자산</t>
    </r>
  </si>
  <si>
    <r>
      <rPr>
        <sz val="10"/>
        <color rgb="FF000000"/>
        <rFont val="Arial"/>
        <family val="0"/>
        <charset val="1"/>
      </rPr>
      <t xml:space="preserve">LibreOffice/core · apache/poi </t>
    </r>
    <r>
      <rPr>
        <sz val="10"/>
        <color rgb="FF000000"/>
        <rFont val="Noto Sans CJK SC"/>
        <family val="2"/>
      </rPr>
      <t xml:space="preserve">출처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저장소에 커밋하지 않고 릴리스 자산으로 배포</t>
    </r>
    <r>
      <rPr>
        <sz val="10"/>
        <color rgb="FF000000"/>
        <rFont val="Arial"/>
        <family val="0"/>
        <charset val="1"/>
      </rPr>
      <t xml:space="preserve">(sha256 </t>
    </r>
    <r>
      <rPr>
        <sz val="10"/>
        <color rgb="FF000000"/>
        <rFont val="Noto Sans CJK SC"/>
        <family val="2"/>
      </rPr>
      <t xml:space="preserve">검증</t>
    </r>
    <r>
      <rPr>
        <sz val="10"/>
        <color rgb="FF000000"/>
        <rFont val="Arial"/>
        <family val="0"/>
        <charset val="1"/>
      </rPr>
      <t xml:space="preserve">, Git LFS </t>
    </r>
    <r>
      <rPr>
        <sz val="10"/>
        <color rgb="FF000000"/>
        <rFont val="Noto Sans CJK SC"/>
        <family val="2"/>
      </rPr>
      <t xml:space="preserve">대역폭 회피</t>
    </r>
    <r>
      <rPr>
        <sz val="10"/>
        <color rgb="FF000000"/>
        <rFont val="Arial"/>
        <family val="0"/>
        <charset val="1"/>
      </rPr>
      <t xml:space="preserve">)</t>
    </r>
  </si>
  <si>
    <t xml:space="preserve">시각 감사 자료</t>
  </si>
  <si>
    <t xml:space="preserve">tests/visual_audits/</t>
  </si>
  <si>
    <t xml:space="preserve">공개 이슈 기반 시각 감사 산출물</t>
  </si>
  <si>
    <r>
      <rPr>
        <b val="true"/>
        <sz val="11"/>
        <color rgb="FF1F3864"/>
        <rFont val="Arial"/>
        <family val="0"/>
        <charset val="1"/>
      </rPr>
      <t xml:space="preserve">3. </t>
    </r>
    <r>
      <rPr>
        <b val="true"/>
        <sz val="11"/>
        <color rgb="FF1F3864"/>
        <rFont val="Noto Sans CJK SC"/>
        <family val="2"/>
      </rPr>
      <t xml:space="preserve">회귀 증적 및 개발 관례</t>
    </r>
  </si>
  <si>
    <t xml:space="preserve">버그 수정 시각 증적</t>
  </si>
  <si>
    <t xml:space="preserve">assets/bugfixes/issue-*/</t>
  </si>
  <si>
    <r>
      <rPr>
        <sz val="10"/>
        <color rgb="FF000000"/>
        <rFont val="Noto Sans CJK SC"/>
        <family val="2"/>
      </rPr>
      <t xml:space="preserve">이슈 번호별 </t>
    </r>
    <r>
      <rPr>
        <sz val="10"/>
        <color rgb="FF000000"/>
        <rFont val="Arial"/>
        <family val="0"/>
        <charset val="1"/>
      </rPr>
      <t xml:space="preserve">before.png / after.png </t>
    </r>
    <r>
      <rPr>
        <sz val="10"/>
        <color rgb="FF000000"/>
        <rFont val="Noto Sans CJK SC"/>
        <family val="2"/>
      </rPr>
      <t xml:space="preserve">증적 디렉터리</t>
    </r>
    <r>
      <rPr>
        <sz val="10"/>
        <color rgb="FF000000"/>
        <rFont val="Arial"/>
        <family val="0"/>
        <charset val="1"/>
      </rPr>
      <t xml:space="preserve">. visual-pr-contract </t>
    </r>
    <r>
      <rPr>
        <sz val="10"/>
        <color rgb="FF000000"/>
        <rFont val="Noto Sans CJK SC"/>
        <family val="2"/>
      </rPr>
      <t xml:space="preserve">잡이 첨부를 강제</t>
    </r>
  </si>
  <si>
    <t xml:space="preserve">대량 변환 기준선</t>
  </si>
  <si>
    <t xml:space="preserve">crates/office2pdf/tests/bulk_conversion.rs</t>
  </si>
  <si>
    <r>
      <rPr>
        <sz val="10"/>
        <color rgb="FF000000"/>
        <rFont val="Noto Sans CJK SC"/>
        <family val="2"/>
      </rPr>
      <t xml:space="preserve">외부 코퍼스 변환 결과를 커밋된 기준선과 대조</t>
    </r>
    <r>
      <rPr>
        <sz val="10"/>
        <color rgb="FF000000"/>
        <rFont val="Arial"/>
        <family val="0"/>
        <charset val="1"/>
      </rPr>
      <t xml:space="preserve">(#[ignore] </t>
    </r>
    <r>
      <rPr>
        <sz val="10"/>
        <color rgb="FF000000"/>
        <rFont val="Noto Sans CJK SC"/>
        <family val="2"/>
      </rPr>
      <t xml:space="preserve">지정</t>
    </r>
    <r>
      <rPr>
        <sz val="10"/>
        <color rgb="FF000000"/>
        <rFont val="Arial"/>
        <family val="0"/>
        <charset val="1"/>
      </rPr>
      <t xml:space="preserve">, bulk-test </t>
    </r>
    <r>
      <rPr>
        <sz val="10"/>
        <color rgb="FF000000"/>
        <rFont val="Noto Sans CJK SC"/>
        <family val="2"/>
      </rPr>
      <t xml:space="preserve">잡에서 실행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</si>
  <si>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유효성 검증</t>
    </r>
  </si>
  <si>
    <r>
      <rPr>
        <sz val="10"/>
        <color rgb="FF000000"/>
        <rFont val="Noto Sans CJK SC"/>
        <family val="2"/>
      </rPr>
      <t xml:space="preserve">생성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의 구조 유효성 및 텍스트 추출 기반 왕복</t>
    </r>
    <r>
      <rPr>
        <sz val="10"/>
        <color rgb="FF000000"/>
        <rFont val="Arial"/>
        <family val="0"/>
        <charset val="1"/>
      </rPr>
      <t xml:space="preserve">(round-trip) </t>
    </r>
    <r>
      <rPr>
        <sz val="10"/>
        <color rgb="FF000000"/>
        <rFont val="Noto Sans CJK SC"/>
        <family val="2"/>
      </rPr>
      <t xml:space="preserve">검증</t>
    </r>
  </si>
  <si>
    <t xml:space="preserve">성능 검증</t>
  </si>
  <si>
    <t xml:space="preserve">tests/perf_validation.rs + benches/conversion.rs</t>
  </si>
  <si>
    <r>
      <rPr>
        <sz val="10"/>
        <color rgb="FF000000"/>
        <rFont val="Arial"/>
        <family val="0"/>
        <charset val="1"/>
      </rPr>
      <t xml:space="preserve">criterion </t>
    </r>
    <r>
      <rPr>
        <sz val="10"/>
        <color rgb="FF000000"/>
        <rFont val="Noto Sans CJK SC"/>
        <family val="2"/>
      </rPr>
      <t xml:space="preserve">벤치마크</t>
    </r>
    <r>
      <rPr>
        <sz val="10"/>
        <color rgb="FF000000"/>
        <rFont val="Arial"/>
        <family val="0"/>
        <charset val="1"/>
      </rPr>
      <t xml:space="preserve">. CI</t>
    </r>
    <r>
      <rPr>
        <sz val="10"/>
        <color rgb="FF000000"/>
        <rFont val="Noto Sans CJK SC"/>
        <family val="2"/>
      </rPr>
      <t xml:space="preserve">는 변환당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초 안전 상한만 적용하며 이는 제품 </t>
    </r>
    <r>
      <rPr>
        <sz val="10"/>
        <color rgb="FF000000"/>
        <rFont val="Arial"/>
        <family val="0"/>
        <charset val="1"/>
      </rPr>
      <t xml:space="preserve">SLA</t>
    </r>
    <r>
      <rPr>
        <sz val="10"/>
        <color rgb="FF000000"/>
        <rFont val="Noto Sans CJK SC"/>
        <family val="2"/>
      </rPr>
      <t xml:space="preserve">가 아님</t>
    </r>
    <r>
      <rPr>
        <sz val="10"/>
        <color rgb="FF000000"/>
        <rFont val="Arial"/>
        <family val="0"/>
        <charset val="1"/>
      </rPr>
      <t xml:space="preserve">(v0.6.4</t>
    </r>
    <r>
      <rPr>
        <sz val="10"/>
        <color rgb="FF000000"/>
        <rFont val="Noto Sans CJK SC"/>
        <family val="2"/>
      </rPr>
      <t xml:space="preserve">에서 불안정한 예산 대신 상한으로 전환</t>
    </r>
    <r>
      <rPr>
        <sz val="10"/>
        <color rgb="FF000000"/>
        <rFont val="Arial"/>
        <family val="0"/>
        <charset val="1"/>
      </rPr>
      <t xml:space="preserve">)</t>
    </r>
  </si>
  <si>
    <t xml:space="preserve">의존성 결함 대응 정책</t>
  </si>
  <si>
    <r>
      <rPr>
        <sz val="10"/>
        <color rgb="FF000000"/>
        <rFont val="Arial"/>
        <family val="0"/>
        <charset val="1"/>
      </rPr>
      <t xml:space="preserve">[patch.crates-io] + </t>
    </r>
    <r>
      <rPr>
        <sz val="10"/>
        <color rgb="FF000000"/>
        <rFont val="Noto Sans CJK SC"/>
        <family val="2"/>
      </rPr>
      <t xml:space="preserve">포크</t>
    </r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</si>
  <si>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변환 결함은 상류</t>
    </r>
    <r>
      <rPr>
        <sz val="10"/>
        <color rgb="FF000000"/>
        <rFont val="Arial"/>
        <family val="0"/>
        <charset val="1"/>
      </rPr>
      <t xml:space="preserve">(docx-rs, umya-spreadsheet)</t>
    </r>
    <r>
      <rPr>
        <sz val="10"/>
        <color rgb="FF000000"/>
        <rFont val="Noto Sans CJK SC"/>
        <family val="2"/>
      </rPr>
      <t xml:space="preserve">에 수정 후 포크 브랜치로 고정하는 정책을 문서화</t>
    </r>
    <r>
      <rPr>
        <sz val="10"/>
        <color rgb="FF000000"/>
        <rFont val="Arial"/>
        <family val="0"/>
        <charset val="1"/>
      </rPr>
      <t xml:space="preserve">(v0.6.2)</t>
    </r>
  </si>
  <si>
    <t xml:space="preserve">에이전트 협업 규약</t>
  </si>
  <si>
    <t xml:space="preserve">AGENTS.md / CLAUDE.md / .claude, .codex</t>
  </si>
  <si>
    <t xml:space="preserve">코딩 에이전트용 리포지터리 규약 및 서브에이전트 정의를 리포지터리에 함께 관리</t>
  </si>
  <si>
    <r>
      <rPr>
        <b val="true"/>
        <sz val="11"/>
        <color rgb="FF1F3864"/>
        <rFont val="Arial"/>
        <family val="0"/>
        <charset val="1"/>
      </rPr>
      <t xml:space="preserve">4. </t>
    </r>
    <r>
      <rPr>
        <b val="true"/>
        <sz val="11"/>
        <color rgb="FF1F3864"/>
        <rFont val="Noto Sans CJK SC"/>
        <family val="2"/>
      </rPr>
      <t xml:space="preserve">자동화 테스트 규모 </t>
    </r>
    <r>
      <rPr>
        <b val="true"/>
        <sz val="11"/>
        <color rgb="FF1F3864"/>
        <rFont val="Arial"/>
        <family val="0"/>
        <charset val="1"/>
      </rPr>
      <t xml:space="preserve">(05_</t>
    </r>
    <r>
      <rPr>
        <b val="true"/>
        <sz val="11"/>
        <color rgb="FF1F3864"/>
        <rFont val="Noto Sans CJK SC"/>
        <family val="2"/>
      </rPr>
      <t xml:space="preserve">모듈</t>
    </r>
    <r>
      <rPr>
        <b val="true"/>
        <sz val="11"/>
        <color rgb="FF1F3864"/>
        <rFont val="Arial"/>
        <family val="0"/>
        <charset val="1"/>
      </rPr>
      <t xml:space="preserve">_</t>
    </r>
    <r>
      <rPr>
        <b val="true"/>
        <sz val="11"/>
        <color rgb="FF1F3864"/>
        <rFont val="Noto Sans CJK SC"/>
        <family val="2"/>
      </rPr>
      <t xml:space="preserve">인벤토리 참조 수식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</si>
  <si>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테스트 파일 수 </t>
    </r>
    <r>
      <rPr>
        <b val="true"/>
        <sz val="10"/>
        <rFont val="Arial"/>
        <family val="0"/>
        <charset val="1"/>
      </rPr>
      <t xml:space="preserve">(_tests.rs </t>
    </r>
    <r>
      <rPr>
        <b val="true"/>
        <sz val="10"/>
        <rFont val="Noto Sans CJK SC"/>
        <family val="2"/>
      </rPr>
      <t xml:space="preserve">및 </t>
    </r>
    <r>
      <rPr>
        <b val="true"/>
        <sz val="10"/>
        <rFont val="Arial"/>
        <family val="0"/>
        <charset val="1"/>
      </rPr>
      <t xml:space="preserve">tests/)</t>
    </r>
  </si>
  <si>
    <t xml:space="preserve">프로덕션 파일 수</t>
  </si>
  <si>
    <t xml:space="preserve">통합 테스트 하네스 파일 수</t>
  </si>
  <si>
    <r>
      <rPr>
        <b val="true"/>
        <sz val="10"/>
        <rFont val="Noto Sans CJK SC"/>
        <family val="2"/>
      </rPr>
      <t xml:space="preserve">테스트 </t>
    </r>
    <r>
      <rPr>
        <b val="true"/>
        <sz val="10"/>
        <rFont val="Arial"/>
        <family val="0"/>
        <charset val="1"/>
      </rPr>
      <t xml:space="preserve">LOC </t>
    </r>
    <r>
      <rPr>
        <b val="true"/>
        <sz val="10"/>
        <rFont val="Noto Sans CJK SC"/>
        <family val="2"/>
      </rPr>
      <t xml:space="preserve">비중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전체 </t>
    </r>
    <r>
      <rPr>
        <b val="true"/>
        <sz val="10"/>
        <rFont val="Arial"/>
        <family val="0"/>
        <charset val="1"/>
      </rPr>
      <t xml:space="preserve">LOC </t>
    </r>
    <r>
      <rPr>
        <b val="true"/>
        <sz val="10"/>
        <rFont val="Noto Sans CJK SC"/>
        <family val="2"/>
      </rPr>
      <t xml:space="preserve">대비</t>
    </r>
    <r>
      <rPr>
        <b val="true"/>
        <sz val="10"/>
        <rFont val="Arial"/>
        <family val="0"/>
        <charset val="1"/>
      </rPr>
      <t xml:space="preserve">)</t>
    </r>
  </si>
  <si>
    <t xml:space="preserve">프로덕션 파일당 평균 테스트 수</t>
  </si>
  <si>
    <r>
      <rPr>
        <i val="true"/>
        <sz val="8"/>
        <color rgb="FF7F7F7F"/>
        <rFont val="Arial"/>
        <family val="0"/>
        <charset val="1"/>
      </rPr>
      <t xml:space="preserve">PRD 9</t>
    </r>
    <r>
      <rPr>
        <i val="true"/>
        <sz val="8"/>
        <color rgb="FF7F7F7F"/>
        <rFont val="Noto Sans CJK SC"/>
        <family val="2"/>
      </rPr>
      <t xml:space="preserve">장의 검증 방법론</t>
    </r>
    <r>
      <rPr>
        <i val="true"/>
        <sz val="8"/>
        <color rgb="FF7F7F7F"/>
        <rFont val="Arial"/>
        <family val="0"/>
        <charset val="1"/>
      </rPr>
      <t xml:space="preserve">: </t>
    </r>
    <r>
      <rPr>
        <i val="true"/>
        <sz val="8"/>
        <color rgb="FF7F7F7F"/>
        <rFont val="Noto Sans CJK SC"/>
        <family val="2"/>
      </rPr>
      <t xml:space="preserve">골든 테스트</t>
    </r>
    <r>
      <rPr>
        <i val="true"/>
        <sz val="8"/>
        <color rgb="FF7F7F7F"/>
        <rFont val="Arial"/>
        <family val="0"/>
        <charset val="1"/>
      </rPr>
      <t xml:space="preserve">(</t>
    </r>
    <r>
      <rPr>
        <i val="true"/>
        <sz val="8"/>
        <color rgb="FF7F7F7F"/>
        <rFont val="Noto Sans CJK SC"/>
        <family val="2"/>
      </rPr>
      <t xml:space="preserve">문서→</t>
    </r>
    <r>
      <rPr>
        <i val="true"/>
        <sz val="8"/>
        <color rgb="FF7F7F7F"/>
        <rFont val="Arial"/>
        <family val="0"/>
        <charset val="1"/>
      </rPr>
      <t xml:space="preserve">PDF→</t>
    </r>
    <r>
      <rPr>
        <i val="true"/>
        <sz val="8"/>
        <color rgb="FF7F7F7F"/>
        <rFont val="Noto Sans CJK SC"/>
        <family val="2"/>
      </rPr>
      <t xml:space="preserve">스크린샷 비교</t>
    </r>
    <r>
      <rPr>
        <i val="true"/>
        <sz val="8"/>
        <color rgb="FF7F7F7F"/>
        <rFont val="Arial"/>
        <family val="0"/>
        <charset val="1"/>
      </rPr>
      <t xml:space="preserve">), </t>
    </r>
    <r>
      <rPr>
        <i val="true"/>
        <sz val="8"/>
        <color rgb="FF7F7F7F"/>
        <rFont val="Noto Sans CJK SC"/>
        <family val="2"/>
      </rPr>
      <t xml:space="preserve">왕복 검증</t>
    </r>
    <r>
      <rPr>
        <i val="true"/>
        <sz val="8"/>
        <color rgb="FF7F7F7F"/>
        <rFont val="Arial"/>
        <family val="0"/>
        <charset val="1"/>
      </rPr>
      <t xml:space="preserve">(</t>
    </r>
    <r>
      <rPr>
        <i val="true"/>
        <sz val="8"/>
        <color rgb="FF7F7F7F"/>
        <rFont val="Noto Sans CJK SC"/>
        <family val="2"/>
      </rPr>
      <t xml:space="preserve">텍스트 추출</t>
    </r>
    <r>
      <rPr>
        <i val="true"/>
        <sz val="8"/>
        <color rgb="FF7F7F7F"/>
        <rFont val="Arial"/>
        <family val="0"/>
        <charset val="1"/>
      </rPr>
      <t xml:space="preserve">), MS Office </t>
    </r>
    <r>
      <rPr>
        <i val="true"/>
        <sz val="8"/>
        <color rgb="FF7F7F7F"/>
        <rFont val="Noto Sans CJK SC"/>
        <family val="2"/>
      </rPr>
      <t xml:space="preserve">출력과의 수동 대조</t>
    </r>
    <r>
      <rPr>
        <i val="true"/>
        <sz val="8"/>
        <color rgb="FF7F7F7F"/>
        <rFont val="Arial"/>
        <family val="0"/>
        <charset val="1"/>
      </rPr>
      <t xml:space="preserve">, </t>
    </r>
    <r>
      <rPr>
        <i val="true"/>
        <sz val="8"/>
        <color rgb="FF7F7F7F"/>
        <rFont val="Noto Sans CJK SC"/>
        <family val="2"/>
      </rPr>
      <t xml:space="preserve">커밋 단위 </t>
    </r>
    <r>
      <rPr>
        <i val="true"/>
        <sz val="8"/>
        <color rgb="FF7F7F7F"/>
        <rFont val="Arial"/>
        <family val="0"/>
        <charset val="1"/>
      </rPr>
      <t xml:space="preserve">CI </t>
    </r>
    <r>
      <rPr>
        <i val="true"/>
        <sz val="8"/>
        <color rgb="FF7F7F7F"/>
        <rFont val="Noto Sans CJK SC"/>
        <family val="2"/>
      </rPr>
      <t xml:space="preserve">자동 변환</t>
    </r>
    <r>
      <rPr>
        <i val="true"/>
        <sz val="8"/>
        <color rgb="FF7F7F7F"/>
        <rFont val="Arial"/>
        <family val="0"/>
        <charset val="1"/>
      </rPr>
      <t xml:space="preserve">. </t>
    </r>
    <r>
      <rPr>
        <i val="true"/>
        <sz val="8"/>
        <color rgb="FF7F7F7F"/>
        <rFont val="Noto Sans CJK SC"/>
        <family val="2"/>
      </rPr>
      <t xml:space="preserve">시각 회귀는 </t>
    </r>
    <r>
      <rPr>
        <i val="true"/>
        <sz val="8"/>
        <color rgb="FF7F7F7F"/>
        <rFont val="Arial"/>
        <family val="0"/>
        <charset val="1"/>
      </rPr>
      <t xml:space="preserve">scripts/compare_render.py </t>
    </r>
    <r>
      <rPr>
        <i val="true"/>
        <sz val="8"/>
        <color rgb="FF7F7F7F"/>
        <rFont val="Noto Sans CJK SC"/>
        <family val="2"/>
      </rPr>
      <t xml:space="preserve">로 렌더 결과를 비교합니다</t>
    </r>
    <r>
      <rPr>
        <i val="true"/>
        <sz val="8"/>
        <color rgb="FF7F7F7F"/>
        <rFont val="Arial"/>
        <family val="0"/>
        <charset val="1"/>
      </rPr>
      <t xml:space="preserve">.</t>
    </r>
  </si>
  <si>
    <r>
      <rPr>
        <b val="true"/>
        <sz val="15"/>
        <color rgb="FFFFFFFF"/>
        <rFont val="Arial"/>
        <family val="0"/>
        <charset val="1"/>
      </rPr>
      <t xml:space="preserve">08. </t>
    </r>
    <r>
      <rPr>
        <b val="true"/>
        <sz val="15"/>
        <color rgb="FFFFFFFF"/>
        <rFont val="Noto Sans CJK SC"/>
        <family val="2"/>
      </rPr>
      <t xml:space="preserve">의존성 인벤토리 — 크레이트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버전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역할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포크 적용 현황</t>
    </r>
  </si>
  <si>
    <r>
      <rPr>
        <i val="true"/>
        <sz val="9"/>
        <color rgb="FF404040"/>
        <rFont val="Noto Sans CJK SC"/>
        <family val="2"/>
      </rPr>
      <t xml:space="preserve">출처</t>
    </r>
    <r>
      <rPr>
        <i val="true"/>
        <sz val="9"/>
        <color rgb="FF404040"/>
        <rFont val="Arial"/>
        <family val="0"/>
        <charset val="1"/>
      </rPr>
      <t xml:space="preserve">: </t>
    </r>
    <r>
      <rPr>
        <i val="true"/>
        <sz val="9"/>
        <color rgb="FF404040"/>
        <rFont val="Noto Sans CJK SC"/>
        <family val="2"/>
      </rPr>
      <t xml:space="preserve">루트 </t>
    </r>
    <r>
      <rPr>
        <i val="true"/>
        <sz val="9"/>
        <color rgb="FF404040"/>
        <rFont val="Arial"/>
        <family val="0"/>
        <charset val="1"/>
      </rPr>
      <t xml:space="preserve">Cargo.toml([patch.crates-io]) </t>
    </r>
    <r>
      <rPr>
        <i val="true"/>
        <sz val="9"/>
        <color rgb="FF404040"/>
        <rFont val="Noto Sans CJK SC"/>
        <family val="2"/>
      </rPr>
      <t xml:space="preserve">및 </t>
    </r>
    <r>
      <rPr>
        <i val="true"/>
        <sz val="9"/>
        <color rgb="FF404040"/>
        <rFont val="Arial"/>
        <family val="0"/>
        <charset val="1"/>
      </rPr>
      <t xml:space="preserve">crates/office2pdf, crates/office2pdf-cli </t>
    </r>
    <r>
      <rPr>
        <i val="true"/>
        <sz val="9"/>
        <color rgb="FF404040"/>
        <rFont val="Noto Sans CJK SC"/>
        <family val="2"/>
      </rPr>
      <t xml:space="preserve">매니페스트</t>
    </r>
    <r>
      <rPr>
        <i val="true"/>
        <sz val="9"/>
        <color rgb="FF404040"/>
        <rFont val="Arial"/>
        <family val="0"/>
        <charset val="1"/>
      </rPr>
      <t xml:space="preserve">.</t>
    </r>
  </si>
  <si>
    <t xml:space="preserve">버전</t>
  </si>
  <si>
    <t xml:space="preserve">소속</t>
  </si>
  <si>
    <t xml:space="preserve">역할</t>
  </si>
  <si>
    <r>
      <rPr>
        <b val="true"/>
        <sz val="10"/>
        <color rgb="FFFFFFFF"/>
        <rFont val="Noto Sans CJK SC"/>
        <family val="2"/>
      </rPr>
      <t xml:space="preserve">포크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패치</t>
    </r>
  </si>
  <si>
    <t xml:space="preserve">crates.io</t>
  </si>
  <si>
    <t xml:space="preserve">typst</t>
  </si>
  <si>
    <t xml:space="preserve">0.14</t>
  </si>
  <si>
    <t xml:space="preserve">런타임 필수</t>
  </si>
  <si>
    <r>
      <rPr>
        <sz val="10"/>
        <color rgb="FF000000"/>
        <rFont val="Noto Sans CJK SC"/>
        <family val="2"/>
      </rPr>
      <t xml:space="preserve">레이아웃 엔진 — 생성된 </t>
    </r>
    <r>
      <rPr>
        <sz val="10"/>
        <color rgb="FF000000"/>
        <rFont val="Arial"/>
        <family val="0"/>
        <charset val="1"/>
      </rPr>
      <t xml:space="preserve">Typst </t>
    </r>
    <r>
      <rPr>
        <sz val="10"/>
        <color rgb="FF000000"/>
        <rFont val="Noto Sans CJK SC"/>
        <family val="2"/>
      </rPr>
      <t xml:space="preserve">마크업을 조판</t>
    </r>
  </si>
  <si>
    <t xml:space="preserve">프로젝트의 핵심 아키텍처 결정</t>
  </si>
  <si>
    <t xml:space="preserve">typst-pdf</t>
  </si>
  <si>
    <r>
      <rPr>
        <sz val="10"/>
        <color rgb="FF000000"/>
        <rFont val="Arial"/>
        <family val="0"/>
        <charset val="1"/>
      </rPr>
      <t xml:space="preserve">Typst </t>
    </r>
    <r>
      <rPr>
        <sz val="10"/>
        <color rgb="FF000000"/>
        <rFont val="Noto Sans CJK SC"/>
        <family val="2"/>
      </rPr>
      <t xml:space="preserve">문서 →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내보내기</t>
    </r>
    <r>
      <rPr>
        <sz val="10"/>
        <color rgb="FF000000"/>
        <rFont val="Arial"/>
        <family val="0"/>
        <charset val="1"/>
      </rPr>
      <t xml:space="preserve">(PDF/A·</t>
    </r>
    <r>
      <rPr>
        <sz val="10"/>
        <color rgb="FF000000"/>
        <rFont val="Noto Sans CJK SC"/>
        <family val="2"/>
      </rPr>
      <t xml:space="preserve">태그 옵션 포함</t>
    </r>
    <r>
      <rPr>
        <sz val="10"/>
        <color rgb="FF000000"/>
        <rFont val="Arial"/>
        <family val="0"/>
        <charset val="1"/>
      </rPr>
      <t xml:space="preserve">)</t>
    </r>
  </si>
  <si>
    <t xml:space="preserve">typst-kit</t>
  </si>
  <si>
    <r>
      <rPr>
        <sz val="10"/>
        <color rgb="FF000000"/>
        <rFont val="Noto Sans CJK SC"/>
        <family val="2"/>
      </rPr>
      <t xml:space="preserve">폰트 탐색 및 폰트 임베딩</t>
    </r>
    <r>
      <rPr>
        <sz val="10"/>
        <color rgb="FF000000"/>
        <rFont val="Arial"/>
        <family val="0"/>
        <charset val="1"/>
      </rPr>
      <t xml:space="preserve">(fonts, embed-fonts </t>
    </r>
    <r>
      <rPr>
        <sz val="10"/>
        <color rgb="FF000000"/>
        <rFont val="Noto Sans CJK SC"/>
        <family val="2"/>
      </rPr>
      <t xml:space="preserve">피처</t>
    </r>
    <r>
      <rPr>
        <sz val="10"/>
        <color rgb="FF000000"/>
        <rFont val="Arial"/>
        <family val="0"/>
        <charset val="1"/>
      </rPr>
      <t xml:space="preserve">)</t>
    </r>
  </si>
  <si>
    <t xml:space="preserve">default-features = false</t>
  </si>
  <si>
    <t xml:space="preserve">comemo</t>
  </si>
  <si>
    <t xml:space="preserve">0.5</t>
  </si>
  <si>
    <r>
      <rPr>
        <sz val="10"/>
        <color rgb="FF000000"/>
        <rFont val="Arial"/>
        <family val="0"/>
        <charset val="1"/>
      </rPr>
      <t xml:space="preserve">Typst</t>
    </r>
    <r>
      <rPr>
        <sz val="10"/>
        <color rgb="FF000000"/>
        <rFont val="Noto Sans CJK SC"/>
        <family val="2"/>
      </rPr>
      <t xml:space="preserve">의 증분 계산 메모이제이션</t>
    </r>
  </si>
  <si>
    <t xml:space="preserve">docx-rs</t>
  </si>
  <si>
    <t xml:space="preserve">0.4</t>
  </si>
  <si>
    <r>
      <rPr>
        <sz val="10"/>
        <color rgb="FF000000"/>
        <rFont val="Arial"/>
        <family val="0"/>
        <charset val="1"/>
      </rPr>
      <t xml:space="preserve">DOCX(WordprocessingML) </t>
    </r>
    <r>
      <rPr>
        <sz val="10"/>
        <color rgb="FF000000"/>
        <rFont val="Noto Sans CJK SC"/>
        <family val="2"/>
      </rPr>
      <t xml:space="preserve">파싱</t>
    </r>
  </si>
  <si>
    <t xml:space="preserve">포크 적용</t>
  </si>
  <si>
    <r>
      <rPr>
        <sz val="10"/>
        <color rgb="FF000000"/>
        <rFont val="Arial"/>
        <family val="0"/>
        <charset val="1"/>
      </rPr>
      <t xml:space="preserve">fix/parse-tolerance </t>
    </r>
    <r>
      <rPr>
        <sz val="10"/>
        <color rgb="FF000000"/>
        <rFont val="Noto Sans CJK SC"/>
        <family val="2"/>
      </rPr>
      <t xml:space="preserve">브랜치로 패치</t>
    </r>
  </si>
  <si>
    <t xml:space="preserve">umya-spreadsheet</t>
  </si>
  <si>
    <t xml:space="preserve">2</t>
  </si>
  <si>
    <r>
      <rPr>
        <sz val="10"/>
        <color rgb="FF000000"/>
        <rFont val="Arial"/>
        <family val="0"/>
        <charset val="1"/>
      </rPr>
      <t xml:space="preserve">XLSX(SpreadsheetML) </t>
    </r>
    <r>
      <rPr>
        <sz val="10"/>
        <color rgb="FF000000"/>
        <rFont val="Noto Sans CJK SC"/>
        <family val="2"/>
      </rPr>
      <t xml:space="preserve">파싱 및 서식 추출</t>
    </r>
  </si>
  <si>
    <r>
      <rPr>
        <sz val="10"/>
        <color rgb="FF000000"/>
        <rFont val="Arial"/>
        <family val="0"/>
        <charset val="1"/>
      </rPr>
      <t xml:space="preserve">fix/panic-safety-v2 </t>
    </r>
    <r>
      <rPr>
        <sz val="10"/>
        <color rgb="FF000000"/>
        <rFont val="Noto Sans CJK SC"/>
        <family val="2"/>
      </rPr>
      <t xml:space="preserve">브랜치로 패치</t>
    </r>
  </si>
  <si>
    <t xml:space="preserve">quick-xml</t>
  </si>
  <si>
    <t xml:space="preserve">0.38</t>
  </si>
  <si>
    <r>
      <rPr>
        <sz val="10"/>
        <color rgb="FF000000"/>
        <rFont val="Arial"/>
        <family val="0"/>
        <charset val="1"/>
      </rPr>
      <t xml:space="preserve">PPTX </t>
    </r>
    <r>
      <rPr>
        <sz val="10"/>
        <color rgb="FF000000"/>
        <rFont val="Noto Sans CJK SC"/>
        <family val="2"/>
      </rPr>
      <t xml:space="preserve">등 자체 </t>
    </r>
    <r>
      <rPr>
        <sz val="10"/>
        <color rgb="FF000000"/>
        <rFont val="Arial"/>
        <family val="0"/>
        <charset val="1"/>
      </rPr>
      <t xml:space="preserve">OOXML </t>
    </r>
    <r>
      <rPr>
        <sz val="10"/>
        <color rgb="FF000000"/>
        <rFont val="Noto Sans CJK SC"/>
        <family val="2"/>
      </rPr>
      <t xml:space="preserve">파서의 스트리밍 </t>
    </r>
    <r>
      <rPr>
        <sz val="10"/>
        <color rgb="FF000000"/>
        <rFont val="Arial"/>
        <family val="0"/>
        <charset val="1"/>
      </rPr>
      <t xml:space="preserve">XML </t>
    </r>
    <r>
      <rPr>
        <sz val="10"/>
        <color rgb="FF000000"/>
        <rFont val="Noto Sans CJK SC"/>
        <family val="2"/>
      </rPr>
      <t xml:space="preserve">처리</t>
    </r>
  </si>
  <si>
    <r>
      <rPr>
        <sz val="10"/>
        <color rgb="FF000000"/>
        <rFont val="Arial"/>
        <family val="0"/>
        <charset val="1"/>
      </rPr>
      <t xml:space="preserve">PPTX</t>
    </r>
    <r>
      <rPr>
        <sz val="10"/>
        <color rgb="FF000000"/>
        <rFont val="Noto Sans CJK SC"/>
        <family val="2"/>
      </rPr>
      <t xml:space="preserve">는 전용 파서를 자체 구현</t>
    </r>
  </si>
  <si>
    <t xml:space="preserve">zip</t>
  </si>
  <si>
    <t xml:space="preserve">0.6</t>
  </si>
  <si>
    <r>
      <rPr>
        <sz val="10"/>
        <color rgb="FF000000"/>
        <rFont val="Arial"/>
        <family val="0"/>
        <charset val="1"/>
      </rPr>
      <t xml:space="preserve">OOXML </t>
    </r>
    <r>
      <rPr>
        <sz val="10"/>
        <color rgb="FF000000"/>
        <rFont val="Noto Sans CJK SC"/>
        <family val="2"/>
      </rPr>
      <t xml:space="preserve">패키지</t>
    </r>
    <r>
      <rPr>
        <sz val="10"/>
        <color rgb="FF000000"/>
        <rFont val="Arial"/>
        <family val="0"/>
        <charset val="1"/>
      </rPr>
      <t xml:space="preserve">(OPC) </t>
    </r>
    <r>
      <rPr>
        <sz val="10"/>
        <color rgb="FF000000"/>
        <rFont val="Noto Sans CJK SC"/>
        <family val="2"/>
      </rPr>
      <t xml:space="preserve">압축 해제</t>
    </r>
  </si>
  <si>
    <r>
      <rPr>
        <sz val="10"/>
        <color rgb="FF000000"/>
        <rFont val="Arial"/>
        <family val="0"/>
        <charset val="1"/>
      </rPr>
      <t xml:space="preserve">deflate </t>
    </r>
    <r>
      <rPr>
        <sz val="10"/>
        <color rgb="FF000000"/>
        <rFont val="Noto Sans CJK SC"/>
        <family val="2"/>
      </rPr>
      <t xml:space="preserve">피처만 사용</t>
    </r>
  </si>
  <si>
    <t xml:space="preserve">image</t>
  </si>
  <si>
    <t xml:space="preserve">0.25</t>
  </si>
  <si>
    <t xml:space="preserve">래스터 이미지 디코드 및 치수 산출</t>
  </si>
  <si>
    <t xml:space="preserve">unicode-normalization</t>
  </si>
  <si>
    <t xml:space="preserve">0.1</t>
  </si>
  <si>
    <r>
      <rPr>
        <sz val="10"/>
        <color rgb="FF000000"/>
        <rFont val="Noto Sans CJK SC"/>
        <family val="2"/>
      </rPr>
      <t xml:space="preserve">폰트 이름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텍스트 정규화</t>
    </r>
    <r>
      <rPr>
        <sz val="10"/>
        <color rgb="FF000000"/>
        <rFont val="Arial"/>
        <family val="0"/>
        <charset val="1"/>
      </rPr>
      <t xml:space="preserve">(CJK </t>
    </r>
    <r>
      <rPr>
        <sz val="10"/>
        <color rgb="FF000000"/>
        <rFont val="Noto Sans CJK SC"/>
        <family val="2"/>
      </rPr>
      <t xml:space="preserve">로컬 이름 매칭</t>
    </r>
    <r>
      <rPr>
        <sz val="10"/>
        <color rgb="FF000000"/>
        <rFont val="Arial"/>
        <family val="0"/>
        <charset val="1"/>
      </rPr>
      <t xml:space="preserve">)</t>
    </r>
  </si>
  <si>
    <t xml:space="preserve">serde / serde_json</t>
  </si>
  <si>
    <t xml:space="preserve">1</t>
  </si>
  <si>
    <r>
      <rPr>
        <sz val="10"/>
        <color rgb="FF000000"/>
        <rFont val="Noto Sans CJK SC"/>
        <family val="2"/>
      </rPr>
      <t xml:space="preserve">설정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메타데이터 직렬화</t>
    </r>
  </si>
  <si>
    <t xml:space="preserve">thiserror</t>
  </si>
  <si>
    <t xml:space="preserve">라이브러리 오류 타입 정의</t>
  </si>
  <si>
    <t xml:space="preserve">tracing</t>
  </si>
  <si>
    <r>
      <rPr>
        <sz val="10"/>
        <color rgb="FF000000"/>
        <rFont val="Noto Sans CJK SC"/>
        <family val="2"/>
      </rPr>
      <t xml:space="preserve">구조적 로깅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미지원 요소 경고 채널</t>
    </r>
    <r>
      <rPr>
        <sz val="10"/>
        <color rgb="FF000000"/>
        <rFont val="Arial"/>
        <family val="0"/>
        <charset val="1"/>
      </rPr>
      <t xml:space="preserve">)</t>
    </r>
  </si>
  <si>
    <t xml:space="preserve">lopdf</t>
  </si>
  <si>
    <t xml:space="preserve">0.39</t>
  </si>
  <si>
    <r>
      <rPr>
        <sz val="10"/>
        <color rgb="FF000000"/>
        <rFont val="Noto Sans CJK SC"/>
        <family val="2"/>
      </rPr>
      <t xml:space="preserve">옵션</t>
    </r>
    <r>
      <rPr>
        <sz val="10"/>
        <color rgb="FF000000"/>
        <rFont val="Arial"/>
        <family val="0"/>
        <charset val="1"/>
      </rPr>
      <t xml:space="preserve">(pdf-ops)</t>
    </r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</si>
  <si>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병합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분할 및 스트리밍 청크 병합</t>
    </r>
  </si>
  <si>
    <r>
      <rPr>
        <sz val="10"/>
        <color rgb="FF000000"/>
        <rFont val="Arial"/>
        <family val="0"/>
        <charset val="1"/>
      </rPr>
      <t xml:space="preserve">CLI</t>
    </r>
    <r>
      <rPr>
        <sz val="10"/>
        <color rgb="FF000000"/>
        <rFont val="Noto Sans CJK SC"/>
        <family val="2"/>
      </rPr>
      <t xml:space="preserve">는 항상 활성화</t>
    </r>
  </si>
  <si>
    <t xml:space="preserve">0.2</t>
  </si>
  <si>
    <r>
      <rPr>
        <sz val="10"/>
        <color rgb="FF000000"/>
        <rFont val="Noto Sans CJK SC"/>
        <family val="2"/>
      </rPr>
      <t xml:space="preserve">옵션</t>
    </r>
    <r>
      <rPr>
        <sz val="10"/>
        <color rgb="FF000000"/>
        <rFont val="Arial"/>
        <family val="0"/>
        <charset val="1"/>
      </rPr>
      <t xml:space="preserve">(wasm)</t>
    </r>
  </si>
  <si>
    <r>
      <rPr>
        <sz val="10"/>
        <color rgb="FF000000"/>
        <rFont val="Arial"/>
        <family val="0"/>
        <charset val="1"/>
      </rPr>
      <t xml:space="preserve">JavaScript </t>
    </r>
    <r>
      <rPr>
        <sz val="10"/>
        <color rgb="FF000000"/>
        <rFont val="Noto Sans CJK SC"/>
        <family val="2"/>
      </rPr>
      <t xml:space="preserve">바인딩 생성</t>
    </r>
  </si>
  <si>
    <t xml:space="preserve">ts-rs</t>
  </si>
  <si>
    <t xml:space="preserve">12</t>
  </si>
  <si>
    <r>
      <rPr>
        <sz val="10"/>
        <color rgb="FF000000"/>
        <rFont val="Noto Sans CJK SC"/>
        <family val="2"/>
      </rPr>
      <t xml:space="preserve">옵션</t>
    </r>
    <r>
      <rPr>
        <sz val="10"/>
        <color rgb="FF000000"/>
        <rFont val="Arial"/>
        <family val="0"/>
        <charset val="1"/>
      </rPr>
      <t xml:space="preserve">(typescript)</t>
    </r>
  </si>
  <si>
    <r>
      <rPr>
        <sz val="10"/>
        <color rgb="FF000000"/>
        <rFont val="Arial"/>
        <family val="0"/>
        <charset val="1"/>
      </rPr>
      <t xml:space="preserve">TypeScript </t>
    </r>
    <r>
      <rPr>
        <sz val="10"/>
        <color rgb="FF000000"/>
        <rFont val="Noto Sans CJK SC"/>
        <family val="2"/>
      </rPr>
      <t xml:space="preserve">타입 정의 생성</t>
    </r>
  </si>
  <si>
    <t xml:space="preserve">getrandom</t>
  </si>
  <si>
    <t xml:space="preserve">0.2 / 0.3</t>
  </si>
  <si>
    <r>
      <rPr>
        <sz val="10"/>
        <color rgb="FF000000"/>
        <rFont val="Noto Sans CJK SC"/>
        <family val="2"/>
      </rPr>
      <t xml:space="preserve">타깃별</t>
    </r>
    <r>
      <rPr>
        <sz val="10"/>
        <color rgb="FF000000"/>
        <rFont val="Arial"/>
        <family val="0"/>
        <charset val="1"/>
      </rPr>
      <t xml:space="preserve">(wasm32)</t>
    </r>
  </si>
  <si>
    <r>
      <rPr>
        <sz val="10"/>
        <color rgb="FF000000"/>
        <rFont val="Arial"/>
        <family val="0"/>
        <charset val="1"/>
      </rPr>
      <t xml:space="preserve">wasm32</t>
    </r>
    <r>
      <rPr>
        <sz val="10"/>
        <color rgb="FF000000"/>
        <rFont val="Noto Sans CJK SC"/>
        <family val="2"/>
      </rPr>
      <t xml:space="preserve">에서 </t>
    </r>
    <r>
      <rPr>
        <sz val="10"/>
        <color rgb="FF000000"/>
        <rFont val="Arial"/>
        <family val="0"/>
        <charset val="1"/>
      </rPr>
      <t xml:space="preserve">js / wasm_js </t>
    </r>
    <r>
      <rPr>
        <sz val="10"/>
        <color rgb="FF000000"/>
        <rFont val="Noto Sans CJK SC"/>
        <family val="2"/>
      </rPr>
      <t xml:space="preserve">백엔드 고정</t>
    </r>
  </si>
  <si>
    <t xml:space="preserve">두 메이저 버전 동시 고정</t>
  </si>
  <si>
    <t xml:space="preserve">web-time</t>
  </si>
  <si>
    <t xml:space="preserve">1.1</t>
  </si>
  <si>
    <r>
      <rPr>
        <sz val="10"/>
        <color rgb="FF000000"/>
        <rFont val="Arial"/>
        <family val="0"/>
        <charset val="1"/>
      </rPr>
      <t xml:space="preserve">std::time </t>
    </r>
    <r>
      <rPr>
        <sz val="10"/>
        <color rgb="FF000000"/>
        <rFont val="Noto Sans CJK SC"/>
        <family val="2"/>
      </rPr>
      <t xml:space="preserve">패닉 회피용 브라우저 시계 </t>
    </r>
    <r>
      <rPr>
        <sz val="10"/>
        <color rgb="FF000000"/>
        <rFont val="Arial"/>
        <family val="0"/>
        <charset val="1"/>
      </rPr>
      <t xml:space="preserve">shim</t>
    </r>
  </si>
  <si>
    <r>
      <rPr>
        <sz val="10"/>
        <color rgb="FF000000"/>
        <rFont val="Arial"/>
        <family val="0"/>
        <charset val="1"/>
      </rPr>
      <t xml:space="preserve">wasm </t>
    </r>
    <r>
      <rPr>
        <sz val="10"/>
        <color rgb="FF000000"/>
        <rFont val="Noto Sans CJK SC"/>
        <family val="2"/>
      </rPr>
      <t xml:space="preserve">피처와 분리 유지</t>
    </r>
  </si>
  <si>
    <t xml:space="preserve">clap</t>
  </si>
  <si>
    <t xml:space="preserve">4</t>
  </si>
  <si>
    <r>
      <rPr>
        <sz val="10"/>
        <color rgb="FF000000"/>
        <rFont val="Arial"/>
        <family val="0"/>
        <charset val="1"/>
      </rPr>
      <t xml:space="preserve">CLI </t>
    </r>
    <r>
      <rPr>
        <sz val="10"/>
        <color rgb="FF000000"/>
        <rFont val="Noto Sans CJK SC"/>
        <family val="2"/>
      </rPr>
      <t xml:space="preserve">인자 파싱</t>
    </r>
    <r>
      <rPr>
        <sz val="10"/>
        <color rgb="FF000000"/>
        <rFont val="Arial"/>
        <family val="0"/>
        <charset val="1"/>
      </rPr>
      <t xml:space="preserve">(derive)</t>
    </r>
  </si>
  <si>
    <t xml:space="preserve">anyhow</t>
  </si>
  <si>
    <r>
      <rPr>
        <sz val="10"/>
        <color rgb="FF000000"/>
        <rFont val="Arial"/>
        <family val="0"/>
        <charset val="1"/>
      </rPr>
      <t xml:space="preserve">CLI </t>
    </r>
    <r>
      <rPr>
        <sz val="10"/>
        <color rgb="FF000000"/>
        <rFont val="Noto Sans CJK SC"/>
        <family val="2"/>
      </rPr>
      <t xml:space="preserve">오류 처리</t>
    </r>
  </si>
  <si>
    <t xml:space="preserve">rayon</t>
  </si>
  <si>
    <r>
      <rPr>
        <sz val="10"/>
        <color rgb="FF000000"/>
        <rFont val="Noto Sans CJK SC"/>
        <family val="2"/>
      </rPr>
      <t xml:space="preserve">일괄 변환 병렬화</t>
    </r>
    <r>
      <rPr>
        <sz val="10"/>
        <color rgb="FF000000"/>
        <rFont val="Arial"/>
        <family val="0"/>
        <charset val="1"/>
      </rPr>
      <t xml:space="preserve">(--jobs)</t>
    </r>
  </si>
  <si>
    <r>
      <rPr>
        <sz val="10"/>
        <color rgb="FF000000"/>
        <rFont val="Arial"/>
        <family val="0"/>
        <charset val="1"/>
      </rPr>
      <t xml:space="preserve">wasm32 </t>
    </r>
    <r>
      <rPr>
        <sz val="10"/>
        <color rgb="FF000000"/>
        <rFont val="Noto Sans CJK SC"/>
        <family val="2"/>
      </rPr>
      <t xml:space="preserve">빌드에서는 제외 필요</t>
    </r>
  </si>
  <si>
    <t xml:space="preserve">tiny_http</t>
  </si>
  <si>
    <t xml:space="preserve">0.12</t>
  </si>
  <si>
    <r>
      <rPr>
        <sz val="10"/>
        <color rgb="FF000000"/>
        <rFont val="Noto Sans CJK SC"/>
        <family val="2"/>
      </rPr>
      <t xml:space="preserve">옵션</t>
    </r>
    <r>
      <rPr>
        <sz val="10"/>
        <color rgb="FF000000"/>
        <rFont val="Arial"/>
        <family val="0"/>
        <charset val="1"/>
      </rPr>
      <t xml:space="preserve">(server)</t>
    </r>
  </si>
  <si>
    <t xml:space="preserve">criterion</t>
  </si>
  <si>
    <r>
      <rPr>
        <sz val="10"/>
        <color rgb="FF000000"/>
        <rFont val="Noto Sans CJK SC"/>
        <family val="2"/>
      </rPr>
      <t xml:space="preserve">개발</t>
    </r>
    <r>
      <rPr>
        <sz val="10"/>
        <color rgb="FF000000"/>
        <rFont val="Arial"/>
        <family val="0"/>
        <charset val="1"/>
      </rPr>
      <t xml:space="preserve">(dev)</t>
    </r>
  </si>
  <si>
    <t xml:space="preserve">변환 성능 벤치마크 하네스</t>
  </si>
  <si>
    <r>
      <rPr>
        <sz val="10"/>
        <color rgb="FF000000"/>
        <rFont val="Arial"/>
        <family val="0"/>
        <charset val="1"/>
      </rPr>
      <t xml:space="preserve">wasm32 </t>
    </r>
    <r>
      <rPr>
        <sz val="10"/>
        <color rgb="FF000000"/>
        <rFont val="Noto Sans CJK SC"/>
        <family val="2"/>
      </rPr>
      <t xml:space="preserve">타깃에서 제외</t>
    </r>
    <r>
      <rPr>
        <sz val="10"/>
        <color rgb="FF000000"/>
        <rFont val="Arial"/>
        <family val="0"/>
        <charset val="1"/>
      </rPr>
      <t xml:space="preserve">(rayon </t>
    </r>
    <r>
      <rPr>
        <sz val="10"/>
        <color rgb="FF000000"/>
        <rFont val="Noto Sans CJK SC"/>
        <family val="2"/>
      </rPr>
      <t xml:space="preserve">의존</t>
    </r>
    <r>
      <rPr>
        <sz val="10"/>
        <color rgb="FF000000"/>
        <rFont val="Arial"/>
        <family val="0"/>
        <charset val="1"/>
      </rPr>
      <t xml:space="preserve">)</t>
    </r>
  </si>
  <si>
    <t xml:space="preserve">pdf-extract</t>
  </si>
  <si>
    <t xml:space="preserve">0.10</t>
  </si>
  <si>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텍스트 추출 기반 왕복 검증</t>
    </r>
  </si>
  <si>
    <t xml:space="preserve">paste</t>
  </si>
  <si>
    <t xml:space="preserve">테스트 매크로 식별자 결합</t>
  </si>
  <si>
    <t xml:space="preserve">wasm-bindgen-test</t>
  </si>
  <si>
    <t xml:space="preserve">0.3</t>
  </si>
  <si>
    <r>
      <rPr>
        <sz val="10"/>
        <color rgb="FF000000"/>
        <rFont val="Noto Sans CJK SC"/>
        <family val="2"/>
      </rPr>
      <t xml:space="preserve">개발</t>
    </r>
    <r>
      <rPr>
        <sz val="10"/>
        <color rgb="FF000000"/>
        <rFont val="Arial"/>
        <family val="0"/>
        <charset val="1"/>
      </rPr>
      <t xml:space="preserve">(dev, wasm32)</t>
    </r>
  </si>
  <si>
    <r>
      <rPr>
        <sz val="10"/>
        <color rgb="FF000000"/>
        <rFont val="Arial"/>
        <family val="0"/>
        <charset val="1"/>
      </rPr>
      <t xml:space="preserve">WASM </t>
    </r>
    <r>
      <rPr>
        <sz val="10"/>
        <color rgb="FF000000"/>
        <rFont val="Noto Sans CJK SC"/>
        <family val="2"/>
      </rPr>
      <t xml:space="preserve">통합 테스트 하네스</t>
    </r>
  </si>
  <si>
    <t xml:space="preserve">의존 크레이트 항목 수</t>
  </si>
  <si>
    <t xml:space="preserve">옵션 피처 게이트</t>
  </si>
  <si>
    <t xml:space="preserve">개발 전용</t>
  </si>
  <si>
    <r>
      <rPr>
        <b val="true"/>
        <sz val="10"/>
        <rFont val="Noto Sans CJK SC"/>
        <family val="2"/>
      </rPr>
      <t xml:space="preserve">포크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패치 적용</t>
    </r>
  </si>
  <si>
    <r>
      <rPr>
        <i val="true"/>
        <sz val="8"/>
        <color rgb="FF7F7F7F"/>
        <rFont val="Arial"/>
        <family val="0"/>
        <charset val="1"/>
      </rPr>
      <t xml:space="preserve">'Zero external dependencies'</t>
    </r>
    <r>
      <rPr>
        <i val="true"/>
        <sz val="8"/>
        <color rgb="FF7F7F7F"/>
        <rFont val="Noto Sans CJK SC"/>
        <family val="2"/>
      </rPr>
      <t xml:space="preserve">는 런타임 외부 프로세스</t>
    </r>
    <r>
      <rPr>
        <i val="true"/>
        <sz val="8"/>
        <color rgb="FF7F7F7F"/>
        <rFont val="Arial"/>
        <family val="0"/>
        <charset val="1"/>
      </rPr>
      <t xml:space="preserve">(LibreOffice, Chromium, Docker) </t>
    </r>
    <r>
      <rPr>
        <i val="true"/>
        <sz val="8"/>
        <color rgb="FF7F7F7F"/>
        <rFont val="Noto Sans CJK SC"/>
        <family val="2"/>
      </rPr>
      <t xml:space="preserve">비의존을 의미하며</t>
    </r>
    <r>
      <rPr>
        <i val="true"/>
        <sz val="8"/>
        <color rgb="FF7F7F7F"/>
        <rFont val="Arial"/>
        <family val="0"/>
        <charset val="1"/>
      </rPr>
      <t xml:space="preserve">, Rust </t>
    </r>
    <r>
      <rPr>
        <i val="true"/>
        <sz val="8"/>
        <color rgb="FF7F7F7F"/>
        <rFont val="Noto Sans CJK SC"/>
        <family val="2"/>
      </rPr>
      <t xml:space="preserve">크레이트 의존성은 위와 같이 존재합니다</t>
    </r>
    <r>
      <rPr>
        <i val="true"/>
        <sz val="8"/>
        <color rgb="FF7F7F7F"/>
        <rFont val="Arial"/>
        <family val="0"/>
        <charset val="1"/>
      </rPr>
      <t xml:space="preserve">. </t>
    </r>
    <r>
      <rPr>
        <i val="true"/>
        <sz val="8"/>
        <color rgb="FF7F7F7F"/>
        <rFont val="Noto Sans CJK SC"/>
        <family val="2"/>
      </rPr>
      <t xml:space="preserve">파싱 크레이트 </t>
    </r>
    <r>
      <rPr>
        <i val="true"/>
        <sz val="8"/>
        <color rgb="FF7F7F7F"/>
        <rFont val="Arial"/>
        <family val="0"/>
        <charset val="1"/>
      </rPr>
      <t xml:space="preserve">2</t>
    </r>
    <r>
      <rPr>
        <i val="true"/>
        <sz val="8"/>
        <color rgb="FF7F7F7F"/>
        <rFont val="Noto Sans CJK SC"/>
        <family val="2"/>
      </rPr>
      <t xml:space="preserve">종은 패닉 안전성 및 파싱 관용도 개선을 위해 메인테이너 본인의 포크 브랜치로 </t>
    </r>
    <r>
      <rPr>
        <i val="true"/>
        <sz val="8"/>
        <color rgb="FF7F7F7F"/>
        <rFont val="Arial"/>
        <family val="0"/>
        <charset val="1"/>
      </rPr>
      <t xml:space="preserve">[patch.crates-io] </t>
    </r>
    <r>
      <rPr>
        <i val="true"/>
        <sz val="8"/>
        <color rgb="FF7F7F7F"/>
        <rFont val="Noto Sans CJK SC"/>
        <family val="2"/>
      </rPr>
      <t xml:space="preserve">고정되어 있습니다</t>
    </r>
    <r>
      <rPr>
        <i val="true"/>
        <sz val="8"/>
        <color rgb="FF7F7F7F"/>
        <rFont val="Arial"/>
        <family val="0"/>
        <charset val="1"/>
      </rPr>
      <t xml:space="preserve">(crates.io </t>
    </r>
    <r>
      <rPr>
        <i val="true"/>
        <sz val="8"/>
        <color rgb="FF7F7F7F"/>
        <rFont val="Noto Sans CJK SC"/>
        <family val="2"/>
      </rPr>
      <t xml:space="preserve">배포 이식성 문제는 </t>
    </r>
    <r>
      <rPr>
        <i val="true"/>
        <sz val="8"/>
        <color rgb="FF7F7F7F"/>
        <rFont val="Arial"/>
        <family val="0"/>
        <charset val="1"/>
      </rPr>
      <t xml:space="preserve">v0.6.3</t>
    </r>
    <r>
      <rPr>
        <i val="true"/>
        <sz val="8"/>
        <color rgb="FF7F7F7F"/>
        <rFont val="Noto Sans CJK SC"/>
        <family val="2"/>
      </rPr>
      <t xml:space="preserve">에서 해소</t>
    </r>
    <r>
      <rPr>
        <i val="true"/>
        <sz val="8"/>
        <color rgb="FF7F7F7F"/>
        <rFont val="Arial"/>
        <family val="0"/>
        <charset val="1"/>
      </rPr>
      <t xml:space="preserve">).</t>
    </r>
  </si>
  <si>
    <r>
      <rPr>
        <b val="true"/>
        <sz val="15"/>
        <color rgb="FFFFFFFF"/>
        <rFont val="Arial"/>
        <family val="0"/>
        <charset val="1"/>
      </rPr>
      <t xml:space="preserve">09. </t>
    </r>
    <r>
      <rPr>
        <b val="true"/>
        <sz val="15"/>
        <color rgb="FFFFFFFF"/>
        <rFont val="Noto Sans CJK SC"/>
        <family val="2"/>
      </rPr>
      <t xml:space="preserve">비기능 요구사항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구현 단계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리스크 </t>
    </r>
    <r>
      <rPr>
        <b val="true"/>
        <sz val="15"/>
        <color rgb="FFFFFFFF"/>
        <rFont val="Arial"/>
        <family val="0"/>
        <charset val="1"/>
      </rPr>
      <t xml:space="preserve">· </t>
    </r>
    <r>
      <rPr>
        <b val="true"/>
        <sz val="15"/>
        <color rgb="FFFFFFFF"/>
        <rFont val="Noto Sans CJK SC"/>
        <family val="2"/>
      </rPr>
      <t xml:space="preserve">문서</t>
    </r>
    <r>
      <rPr>
        <b val="true"/>
        <sz val="15"/>
        <color rgb="FFFFFFFF"/>
        <rFont val="Arial"/>
        <family val="0"/>
        <charset val="1"/>
      </rPr>
      <t xml:space="preserve">-</t>
    </r>
    <r>
      <rPr>
        <b val="true"/>
        <sz val="15"/>
        <color rgb="FFFFFFFF"/>
        <rFont val="Noto Sans CJK SC"/>
        <family val="2"/>
      </rPr>
      <t xml:space="preserve">구현 격차</t>
    </r>
  </si>
  <si>
    <r>
      <rPr>
        <i val="true"/>
        <sz val="9"/>
        <color rgb="FF404040"/>
        <rFont val="Noto Sans CJK SC"/>
        <family val="2"/>
      </rPr>
      <t xml:space="preserve">출처</t>
    </r>
    <r>
      <rPr>
        <i val="true"/>
        <sz val="9"/>
        <color rgb="FF404040"/>
        <rFont val="Arial"/>
        <family val="0"/>
        <charset val="1"/>
      </rPr>
      <t xml:space="preserve">: PRD.md 4·8·10</t>
    </r>
    <r>
      <rPr>
        <i val="true"/>
        <sz val="9"/>
        <color rgb="FF404040"/>
        <rFont val="Noto Sans CJK SC"/>
        <family val="2"/>
      </rPr>
      <t xml:space="preserve">장</t>
    </r>
    <r>
      <rPr>
        <i val="true"/>
        <sz val="9"/>
        <color rgb="FF404040"/>
        <rFont val="Arial"/>
        <family val="0"/>
        <charset val="1"/>
      </rPr>
      <t xml:space="preserve">, METHODOLOGY.md, v0.6.4 </t>
    </r>
    <r>
      <rPr>
        <i val="true"/>
        <sz val="9"/>
        <color rgb="FF404040"/>
        <rFont val="Noto Sans CJK SC"/>
        <family val="2"/>
      </rPr>
      <t xml:space="preserve">릴리스 노트</t>
    </r>
    <r>
      <rPr>
        <i val="true"/>
        <sz val="9"/>
        <color rgb="FF404040"/>
        <rFont val="Arial"/>
        <family val="0"/>
        <charset val="1"/>
      </rPr>
      <t xml:space="preserve">, </t>
    </r>
    <r>
      <rPr>
        <i val="true"/>
        <sz val="9"/>
        <color rgb="FF404040"/>
        <rFont val="Noto Sans CJK SC"/>
        <family val="2"/>
      </rPr>
      <t xml:space="preserve">소스 대조 결과</t>
    </r>
    <r>
      <rPr>
        <i val="true"/>
        <sz val="9"/>
        <color rgb="FF404040"/>
        <rFont val="Arial"/>
        <family val="0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</si>
  <si>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1. </t>
    </r>
    <r>
      <rPr>
        <b val="true"/>
        <sz val="11"/>
        <color rgb="FF1F3864"/>
        <rFont val="Noto Sans CJK SC"/>
        <family val="2"/>
      </rPr>
      <t xml:space="preserve">비기능 요구사항 </t>
    </r>
    <r>
      <rPr>
        <b val="true"/>
        <sz val="11"/>
        <color rgb="FF1F3864"/>
        <rFont val="Arial"/>
        <family val="0"/>
        <charset val="1"/>
      </rPr>
      <t xml:space="preserve">(PRD 4</t>
    </r>
    <r>
      <rPr>
        <b val="true"/>
        <sz val="11"/>
        <color rgb="FF1F3864"/>
        <rFont val="Noto Sans CJK SC"/>
        <family val="2"/>
      </rPr>
      <t xml:space="preserve">장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</si>
  <si>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범주</t>
  </si>
  <si>
    <t xml:space="preserve">요구사항</t>
  </si>
  <si>
    <t xml:space="preserve">현황 근거</t>
  </si>
  <si>
    <t xml:space="preserve">충족 판단</t>
  </si>
  <si>
    <t xml:space="preserve">성능</t>
  </si>
  <si>
    <r>
      <rPr>
        <sz val="10"/>
        <color rgb="FF000000"/>
        <rFont val="Noto Sans CJK SC"/>
        <family val="2"/>
      </rPr>
      <t xml:space="preserve">자릿수 단위 회귀 방지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통제된 반복 가능 벤치마크에서만 제품 </t>
    </r>
    <r>
      <rPr>
        <sz val="10"/>
        <color rgb="FF000000"/>
        <rFont val="Arial"/>
        <family val="0"/>
        <charset val="1"/>
      </rPr>
      <t xml:space="preserve">SLA </t>
    </r>
    <r>
      <rPr>
        <sz val="10"/>
        <color rgb="FF000000"/>
        <rFont val="Noto Sans CJK SC"/>
        <family val="2"/>
      </rPr>
      <t xml:space="preserve">수립</t>
    </r>
  </si>
  <si>
    <r>
      <rPr>
        <sz val="10"/>
        <color rgb="FF000000"/>
        <rFont val="Arial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는 변환당 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초 안전 상한만 적용</t>
    </r>
    <r>
      <rPr>
        <sz val="10"/>
        <color rgb="FF000000"/>
        <rFont val="Arial"/>
        <family val="0"/>
        <charset val="1"/>
      </rPr>
      <t xml:space="preserve">, criterion </t>
    </r>
    <r>
      <rPr>
        <sz val="10"/>
        <color rgb="FF000000"/>
        <rFont val="Noto Sans CJK SC"/>
        <family val="2"/>
      </rPr>
      <t xml:space="preserve">벤치마크 별도 운영</t>
    </r>
  </si>
  <si>
    <t xml:space="preserve">정책 수립 완료</t>
  </si>
  <si>
    <t xml:space="preserve">메모리</t>
  </si>
  <si>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페이지 문서 기준 </t>
    </r>
    <r>
      <rPr>
        <sz val="10"/>
        <color rgb="FF000000"/>
        <rFont val="Arial"/>
        <family val="0"/>
        <charset val="1"/>
      </rPr>
      <t xml:space="preserve">500MB </t>
    </r>
    <r>
      <rPr>
        <sz val="10"/>
        <color rgb="FF000000"/>
        <rFont val="Noto Sans CJK SC"/>
        <family val="2"/>
      </rPr>
      <t xml:space="preserve">미만</t>
    </r>
  </si>
  <si>
    <r>
      <rPr>
        <sz val="10"/>
        <color rgb="FF000000"/>
        <rFont val="Arial"/>
        <family val="0"/>
        <charset val="1"/>
      </rPr>
      <t xml:space="preserve">XLSX </t>
    </r>
    <r>
      <rPr>
        <sz val="10"/>
        <color rgb="FF000000"/>
        <rFont val="Noto Sans CJK SC"/>
        <family val="2"/>
      </rPr>
      <t xml:space="preserve">스트리밍 모드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행 청크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로 사용량 상한 제어 수단 제공</t>
    </r>
  </si>
  <si>
    <t xml:space="preserve">측정치 미공개</t>
  </si>
  <si>
    <t xml:space="preserve">바이너리 크기</t>
  </si>
  <si>
    <r>
      <rPr>
        <sz val="10"/>
        <color rgb="FF000000"/>
        <rFont val="Arial"/>
        <family val="0"/>
        <charset val="1"/>
      </rPr>
      <t xml:space="preserve">CLI 50MB </t>
    </r>
    <r>
      <rPr>
        <sz val="10"/>
        <color rgb="FF000000"/>
        <rFont val="Noto Sans CJK SC"/>
        <family val="2"/>
      </rPr>
      <t xml:space="preserve">미만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폰트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</si>
  <si>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typst-kit embed-fonts </t>
    </r>
    <r>
      <rPr>
        <sz val="10"/>
        <color rgb="FF000000"/>
        <rFont val="Noto Sans CJK SC"/>
        <family val="2"/>
      </rPr>
      <t xml:space="preserve">로 폰트 내장</t>
    </r>
    <r>
      <rPr>
        <sz val="10"/>
        <color rgb="FF000000"/>
        <rFont val="Arial"/>
        <family val="0"/>
        <charset val="1"/>
      </rPr>
      <t xml:space="preserve">, 6</t>
    </r>
    <r>
      <rPr>
        <sz val="10"/>
        <color rgb="FF000000"/>
        <rFont val="Noto Sans CJK SC"/>
        <family val="2"/>
      </rPr>
      <t xml:space="preserve">개 타깃 프리빌트 아카이브 배포</t>
    </r>
  </si>
  <si>
    <t xml:space="preserve">플랫폼</t>
  </si>
  <si>
    <t xml:space="preserve">Windows, macOS, Linux</t>
  </si>
  <si>
    <r>
      <rPr>
        <sz val="10"/>
        <color rgb="FF000000"/>
        <rFont val="Arial"/>
        <family val="0"/>
        <charset val="1"/>
      </rPr>
      <t xml:space="preserve">CI 3</t>
    </r>
    <r>
      <rPr>
        <sz val="10"/>
        <color rgb="FF000000"/>
        <rFont val="Noto Sans CJK SC"/>
        <family val="2"/>
      </rPr>
      <t xml:space="preserve">중 </t>
    </r>
    <r>
      <rPr>
        <sz val="10"/>
        <color rgb="FF000000"/>
        <rFont val="Arial"/>
        <family val="0"/>
        <charset val="1"/>
      </rPr>
      <t xml:space="preserve">OS </t>
    </r>
    <r>
      <rPr>
        <sz val="10"/>
        <color rgb="FF000000"/>
        <rFont val="Noto Sans CJK SC"/>
        <family val="2"/>
      </rPr>
      <t xml:space="preserve">매트릭스 </t>
    </r>
    <r>
      <rPr>
        <sz val="10"/>
        <color rgb="FF000000"/>
        <rFont val="Arial"/>
        <family val="0"/>
        <charset val="1"/>
      </rPr>
      <t xml:space="preserve">+ 6</t>
    </r>
    <r>
      <rPr>
        <sz val="10"/>
        <color rgb="FF000000"/>
        <rFont val="Noto Sans CJK SC"/>
        <family val="2"/>
      </rPr>
      <t xml:space="preserve">개 타깃 릴리스 아티팩트</t>
    </r>
    <r>
      <rPr>
        <sz val="10"/>
        <color rgb="FF000000"/>
        <rFont val="Arial"/>
        <family val="0"/>
        <charset val="1"/>
      </rPr>
      <t xml:space="preserve">(musl </t>
    </r>
    <r>
      <rPr>
        <sz val="10"/>
        <color rgb="FF000000"/>
        <rFont val="Noto Sans CJK SC"/>
        <family val="2"/>
      </rPr>
      <t xml:space="preserve">정적 포함</t>
    </r>
    <r>
      <rPr>
        <sz val="10"/>
        <color rgb="FF000000"/>
        <rFont val="Arial"/>
        <family val="0"/>
        <charset val="1"/>
      </rPr>
      <t xml:space="preserve">)</t>
    </r>
  </si>
  <si>
    <t xml:space="preserve">충족</t>
  </si>
  <si>
    <t xml:space="preserve">오류 처리</t>
  </si>
  <si>
    <t xml:space="preserve">파싱 불가 요소는 경고와 함께 건너뛰고 전체 변환 계속</t>
  </si>
  <si>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열거형의 </t>
    </r>
    <r>
      <rPr>
        <sz val="10"/>
        <color rgb="FF000000"/>
        <rFont val="Arial"/>
        <family val="0"/>
        <charset val="1"/>
      </rPr>
      <t xml:space="preserve">UnsupportedElement/PartialElement/FallbackUsed/ParseSkipped </t>
    </r>
    <r>
      <rPr>
        <sz val="10"/>
        <color rgb="FF000000"/>
        <rFont val="Noto Sans CJK SC"/>
        <family val="2"/>
      </rPr>
      <t xml:space="preserve">진단 변형</t>
    </r>
  </si>
  <si>
    <t xml:space="preserve">폰트 폴백</t>
  </si>
  <si>
    <r>
      <rPr>
        <sz val="10"/>
        <color rgb="FF000000"/>
        <rFont val="Noto Sans CJK SC"/>
        <family val="2"/>
      </rPr>
      <t xml:space="preserve">시스템 폰트 탐색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내장 기본 폰트</t>
    </r>
  </si>
  <si>
    <r>
      <rPr>
        <sz val="10"/>
        <color rgb="FF000000"/>
        <rFont val="Arial"/>
        <family val="0"/>
        <charset val="1"/>
      </rPr>
      <t xml:space="preserve">render/font_subst.rs, font_context.rs, macOS Office </t>
    </r>
    <r>
      <rPr>
        <sz val="10"/>
        <color rgb="FF000000"/>
        <rFont val="Noto Sans CJK SC"/>
        <family val="2"/>
      </rPr>
      <t xml:space="preserve">폰트 자동 탐색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임베드 폰트 추출</t>
    </r>
  </si>
  <si>
    <t xml:space="preserve">출력 준수 표준</t>
  </si>
  <si>
    <r>
      <rPr>
        <sz val="10"/>
        <color rgb="FF000000"/>
        <rFont val="Arial"/>
        <family val="0"/>
        <charset val="1"/>
      </rPr>
      <t xml:space="preserve">PDF 1.7 </t>
    </r>
    <r>
      <rPr>
        <sz val="10"/>
        <color rgb="FF000000"/>
        <rFont val="Noto Sans CJK SC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, PDF/A </t>
    </r>
    <r>
      <rPr>
        <sz val="10"/>
        <color rgb="FF000000"/>
        <rFont val="Noto Sans CJK SC"/>
        <family val="2"/>
      </rPr>
      <t xml:space="preserve">옵션</t>
    </r>
  </si>
  <si>
    <r>
      <rPr>
        <sz val="10"/>
        <color rgb="FF000000"/>
        <rFont val="Arial"/>
        <family val="0"/>
        <charset val="1"/>
      </rPr>
      <t xml:space="preserve">PDF/A-2b, </t>
    </r>
    <r>
      <rPr>
        <sz val="10"/>
        <color rgb="FF000000"/>
        <rFont val="Noto Sans CJK SC"/>
        <family val="2"/>
      </rPr>
      <t xml:space="preserve">태그 </t>
    </r>
    <r>
      <rPr>
        <sz val="10"/>
        <color rgb="FF000000"/>
        <rFont val="Arial"/>
        <family val="0"/>
        <charset val="1"/>
      </rPr>
      <t xml:space="preserve">PDF, PDF/UA-1 </t>
    </r>
    <r>
      <rPr>
        <sz val="10"/>
        <color rgb="FF000000"/>
        <rFont val="Noto Sans CJK SC"/>
        <family val="2"/>
      </rPr>
      <t xml:space="preserve">까지 확장 구현</t>
    </r>
  </si>
  <si>
    <t xml:space="preserve">요구 초과 달성</t>
  </si>
  <si>
    <r>
      <rPr>
        <b val="true"/>
        <sz val="11"/>
        <color rgb="FF1F3864"/>
        <rFont val="Arial"/>
        <family val="0"/>
        <charset val="1"/>
      </rPr>
      <t xml:space="preserve">2. </t>
    </r>
    <r>
      <rPr>
        <b val="true"/>
        <sz val="11"/>
        <color rgb="FF1F3864"/>
        <rFont val="Noto Sans CJK SC"/>
        <family val="2"/>
      </rPr>
      <t xml:space="preserve">성능 측정 정책 </t>
    </r>
    <r>
      <rPr>
        <b val="true"/>
        <sz val="11"/>
        <color rgb="FF1F3864"/>
        <rFont val="Arial"/>
        <family val="0"/>
        <charset val="1"/>
      </rPr>
      <t xml:space="preserve">(PRD 4.1</t>
    </r>
    <r>
      <rPr>
        <b val="true"/>
        <sz val="11"/>
        <color rgb="FF1F3864"/>
        <rFont val="Noto Sans CJK SC"/>
        <family val="2"/>
      </rPr>
      <t xml:space="preserve">장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</si>
  <si>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•</t>
  </si>
  <si>
    <r>
      <rPr>
        <sz val="10"/>
        <rFont val="Noto Sans CJK SC"/>
        <family val="2"/>
      </rPr>
      <t xml:space="preserve">공용 러너 </t>
    </r>
    <r>
      <rPr>
        <sz val="10"/>
        <rFont val="Arial"/>
        <family val="0"/>
        <charset val="1"/>
      </rPr>
      <t xml:space="preserve">CI</t>
    </r>
    <r>
      <rPr>
        <sz val="10"/>
        <rFont val="Noto Sans CJK SC"/>
        <family val="2"/>
      </rPr>
      <t xml:space="preserve">의 변환당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 상한은 총체적 회귀 탐지용이며 제품 </t>
    </r>
    <r>
      <rPr>
        <sz val="10"/>
        <rFont val="Arial"/>
        <family val="0"/>
        <charset val="1"/>
      </rPr>
      <t xml:space="preserve">SLA·P95 </t>
    </r>
    <r>
      <rPr>
        <sz val="10"/>
        <rFont val="Noto Sans CJK SC"/>
        <family val="2"/>
      </rPr>
      <t xml:space="preserve">주장이 아님</t>
    </r>
  </si>
  <si>
    <r>
      <rPr>
        <sz val="10"/>
        <rFont val="Noto Sans CJK SC"/>
        <family val="2"/>
      </rPr>
      <t xml:space="preserve">제품 목표치는 버전 고정된 실사용 픽스처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하드웨어</t>
    </r>
    <r>
      <rPr>
        <sz val="10"/>
        <rFont val="Arial"/>
        <family val="0"/>
        <charset val="1"/>
      </rPr>
      <t xml:space="preserve">, OS, </t>
    </r>
    <r>
      <rPr>
        <sz val="10"/>
        <rFont val="Noto Sans CJK SC"/>
        <family val="2"/>
      </rPr>
      <t xml:space="preserve">폰트 세트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캐시 상태를 명시해야 함</t>
    </r>
  </si>
  <si>
    <r>
      <rPr>
        <sz val="10"/>
        <rFont val="Noto Sans CJK SC"/>
        <family val="2"/>
      </rPr>
      <t xml:space="preserve">릴리스 차단 지연 목표 도입 전 전용 러너에서 시나리오당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회 이상 표본으로 중위수</t>
    </r>
    <r>
      <rPr>
        <sz val="10"/>
        <rFont val="Arial"/>
        <family val="0"/>
        <charset val="1"/>
      </rPr>
      <t xml:space="preserve">·P95·P99 </t>
    </r>
    <r>
      <rPr>
        <sz val="10"/>
        <rFont val="Noto Sans CJK SC"/>
        <family val="2"/>
      </rPr>
      <t xml:space="preserve">보고</t>
    </r>
  </si>
  <si>
    <r>
      <rPr>
        <sz val="10"/>
        <rFont val="Noto Sans CJK SC"/>
        <family val="2"/>
      </rPr>
      <t xml:space="preserve">벤치마크 기준선은 버전 관리하며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목표 변경 시 전후 측정치와 근거를 </t>
    </r>
    <r>
      <rPr>
        <sz val="10"/>
        <rFont val="Arial"/>
        <family val="0"/>
        <charset val="1"/>
      </rPr>
      <t xml:space="preserve">PR</t>
    </r>
    <r>
      <rPr>
        <sz val="10"/>
        <rFont val="Noto Sans CJK SC"/>
        <family val="2"/>
      </rPr>
      <t xml:space="preserve">에 기술</t>
    </r>
  </si>
  <si>
    <r>
      <rPr>
        <b val="true"/>
        <sz val="11"/>
        <color rgb="FF1F3864"/>
        <rFont val="Arial"/>
        <family val="0"/>
        <charset val="1"/>
      </rPr>
      <t xml:space="preserve">3. </t>
    </r>
    <r>
      <rPr>
        <b val="true"/>
        <sz val="11"/>
        <color rgb="FF1F3864"/>
        <rFont val="Noto Sans CJK SC"/>
        <family val="2"/>
      </rPr>
      <t xml:space="preserve">구현 단계 </t>
    </r>
    <r>
      <rPr>
        <b val="true"/>
        <sz val="11"/>
        <color rgb="FF1F3864"/>
        <rFont val="Arial"/>
        <family val="0"/>
        <charset val="1"/>
      </rPr>
      <t xml:space="preserve">(PRD 8</t>
    </r>
    <r>
      <rPr>
        <b val="true"/>
        <sz val="11"/>
        <color rgb="FF1F3864"/>
        <rFont val="Noto Sans CJK SC"/>
        <family val="2"/>
      </rPr>
      <t xml:space="preserve">장</t>
    </r>
    <r>
      <rPr>
        <b val="true"/>
        <sz val="11"/>
        <color rgb="FF1F3864"/>
        <rFont val="Arial"/>
        <family val="0"/>
        <charset val="1"/>
      </rPr>
      <t xml:space="preserve">) </t>
    </r>
    <r>
      <rPr>
        <b val="true"/>
        <sz val="11"/>
        <color rgb="FF1F3864"/>
        <rFont val="Noto Sans CJK SC"/>
        <family val="2"/>
      </rPr>
      <t xml:space="preserve">및 진행 판단</t>
    </r>
  </si>
  <si>
    <t xml:space="preserve">단계</t>
  </si>
  <si>
    <t xml:space="preserve">범위</t>
  </si>
  <si>
    <t xml:space="preserve">현 상태 근거</t>
  </si>
  <si>
    <t xml:space="preserve">판단</t>
  </si>
  <si>
    <t xml:space="preserve">Phase 1 — MVP</t>
  </si>
  <si>
    <r>
      <rPr>
        <sz val="10"/>
        <color rgb="FF000000"/>
        <rFont val="Noto Sans CJK SC"/>
        <family val="2"/>
      </rPr>
      <t xml:space="preserve">워크스페이스</t>
    </r>
    <r>
      <rPr>
        <sz val="10"/>
        <color rgb="FF000000"/>
        <rFont val="Arial"/>
        <family val="0"/>
        <charset val="1"/>
      </rPr>
      <t xml:space="preserve">·CI </t>
    </r>
    <r>
      <rPr>
        <sz val="10"/>
        <color rgb="FF000000"/>
        <rFont val="Noto Sans CJK SC"/>
        <family val="2"/>
      </rPr>
      <t xml:space="preserve">구성</t>
    </r>
    <r>
      <rPr>
        <sz val="10"/>
        <color rgb="FF000000"/>
        <rFont val="Arial"/>
        <family val="0"/>
        <charset val="1"/>
      </rPr>
      <t xml:space="preserve">, IR </t>
    </r>
    <r>
      <rPr>
        <sz val="10"/>
        <color rgb="FF000000"/>
        <rFont val="Noto Sans CJK SC"/>
        <family val="2"/>
      </rPr>
      <t xml:space="preserve">정의</t>
    </r>
    <r>
      <rPr>
        <sz val="10"/>
        <color rgb="FF000000"/>
        <rFont val="Arial"/>
        <family val="0"/>
        <charset val="1"/>
      </rPr>
      <t xml:space="preserve">, 3</t>
    </r>
    <r>
      <rPr>
        <sz val="10"/>
        <color rgb="FF000000"/>
        <rFont val="Noto Sans CJK SC"/>
        <family val="2"/>
      </rPr>
      <t xml:space="preserve">포맷 </t>
    </r>
    <r>
      <rPr>
        <sz val="10"/>
        <color rgb="FF000000"/>
        <rFont val="Arial"/>
        <family val="0"/>
        <charset val="1"/>
      </rPr>
      <t xml:space="preserve">P0 </t>
    </r>
    <r>
      <rPr>
        <sz val="10"/>
        <color rgb="FF000000"/>
        <rFont val="Noto Sans CJK SC"/>
        <family val="2"/>
      </rPr>
      <t xml:space="preserve">기능 → </t>
    </r>
    <r>
      <rPr>
        <sz val="10"/>
        <color rgb="FF000000"/>
        <rFont val="Arial"/>
        <family val="0"/>
        <charset val="1"/>
      </rPr>
      <t xml:space="preserve">Typst → PDF, </t>
    </r>
    <r>
      <rPr>
        <sz val="10"/>
        <color rgb="FF000000"/>
        <rFont val="Noto Sans CJK SC"/>
        <family val="2"/>
      </rPr>
      <t xml:space="preserve">기본 </t>
    </r>
    <r>
      <rPr>
        <sz val="10"/>
        <color rgb="FF000000"/>
        <rFont val="Arial"/>
        <family val="0"/>
        <charset val="1"/>
      </rPr>
      <t xml:space="preserve">CLI</t>
    </r>
  </si>
  <si>
    <r>
      <rPr>
        <sz val="10"/>
        <color rgb="FF000000"/>
        <rFont val="Arial"/>
        <family val="0"/>
        <charset val="1"/>
      </rPr>
      <t xml:space="preserve">v0.1.0~v0.2.0 </t>
    </r>
    <r>
      <rPr>
        <sz val="10"/>
        <color rgb="FF000000"/>
        <rFont val="Noto Sans CJK SC"/>
        <family val="2"/>
      </rPr>
      <t xml:space="preserve">시점에 완료</t>
    </r>
  </si>
  <si>
    <t xml:space="preserve">완료</t>
  </si>
  <si>
    <r>
      <rPr>
        <sz val="10"/>
        <color rgb="FF000000"/>
        <rFont val="Arial"/>
        <family val="0"/>
        <charset val="1"/>
      </rPr>
      <t xml:space="preserve">Phase 2 — </t>
    </r>
    <r>
      <rPr>
        <sz val="10"/>
        <color rgb="FF000000"/>
        <rFont val="Noto Sans CJK SC"/>
        <family val="2"/>
      </rPr>
      <t xml:space="preserve">서식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스타일</t>
    </r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</si>
  <si>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전량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폰트 임베딩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폴백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오류 처리 강화</t>
    </r>
  </si>
  <si>
    <r>
      <rPr>
        <sz val="10"/>
        <color rgb="FF000000"/>
        <rFont val="Arial"/>
        <family val="0"/>
        <charset val="1"/>
      </rPr>
      <t xml:space="preserve">v0.4.0 </t>
    </r>
    <r>
      <rPr>
        <sz val="10"/>
        <color rgb="FF000000"/>
        <rFont val="Noto Sans CJK SC"/>
        <family val="2"/>
      </rPr>
      <t xml:space="preserve">임베드 폰트 추출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폰트 자동 탐색으로 달성</t>
    </r>
  </si>
  <si>
    <r>
      <rPr>
        <sz val="10"/>
        <color rgb="FF000000"/>
        <rFont val="Arial"/>
        <family val="0"/>
        <charset val="1"/>
      </rPr>
      <t xml:space="preserve">Phase 3 — </t>
    </r>
    <r>
      <rPr>
        <sz val="10"/>
        <color rgb="FF000000"/>
        <rFont val="Noto Sans CJK SC"/>
        <family val="2"/>
      </rPr>
      <t xml:space="preserve">고급 기능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</si>
  <si>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전량</t>
    </r>
    <r>
      <rPr>
        <sz val="10"/>
        <color rgb="FF000000"/>
        <rFont val="Arial"/>
        <family val="0"/>
        <charset val="1"/>
      </rPr>
      <t xml:space="preserve">, PDF/A, </t>
    </r>
    <r>
      <rPr>
        <sz val="10"/>
        <color rgb="FF000000"/>
        <rFont val="Noto Sans CJK SC"/>
        <family val="2"/>
      </rPr>
      <t xml:space="preserve">성능 최적화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일괄 변환</t>
    </r>
  </si>
  <si>
    <r>
      <rPr>
        <sz val="10"/>
        <color rgb="FF000000"/>
        <rFont val="Arial"/>
        <family val="0"/>
        <charset val="1"/>
      </rPr>
      <t xml:space="preserve">PDF/A-2b·</t>
    </r>
    <r>
      <rPr>
        <sz val="10"/>
        <color rgb="FF000000"/>
        <rFont val="Noto Sans CJK SC"/>
        <family val="2"/>
      </rPr>
      <t xml:space="preserve">태그 </t>
    </r>
    <r>
      <rPr>
        <sz val="10"/>
        <color rgb="FF000000"/>
        <rFont val="Arial"/>
        <family val="0"/>
        <charset val="1"/>
      </rPr>
      <t xml:space="preserve">PDF·PDF/UA, --jobs </t>
    </r>
    <r>
      <rPr>
        <sz val="10"/>
        <color rgb="FF000000"/>
        <rFont val="Noto Sans CJK SC"/>
        <family val="2"/>
      </rPr>
      <t xml:space="preserve">병렬화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스트리밍 모드</t>
    </r>
  </si>
  <si>
    <r>
      <rPr>
        <sz val="10"/>
        <color rgb="FF000000"/>
        <rFont val="Arial"/>
        <family val="0"/>
        <charset val="1"/>
      </rPr>
      <t xml:space="preserve">Phase 4 — </t>
    </r>
    <r>
      <rPr>
        <sz val="10"/>
        <color rgb="FF000000"/>
        <rFont val="Noto Sans CJK SC"/>
        <family val="2"/>
      </rPr>
      <t xml:space="preserve">마감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</si>
  <si>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가능 범위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엣지 케이스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문서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예제</t>
    </r>
    <r>
      <rPr>
        <sz val="10"/>
        <color rgb="FF000000"/>
        <rFont val="Arial"/>
        <family val="0"/>
        <charset val="1"/>
      </rPr>
      <t xml:space="preserve">·crates.io </t>
    </r>
    <r>
      <rPr>
        <sz val="10"/>
        <color rgb="FF000000"/>
        <rFont val="Noto Sans CJK SC"/>
        <family val="2"/>
      </rPr>
      <t xml:space="preserve">배포</t>
    </r>
  </si>
  <si>
    <r>
      <rPr>
        <sz val="10"/>
        <color rgb="FF000000"/>
        <rFont val="Arial"/>
        <family val="0"/>
        <charset val="1"/>
      </rPr>
      <t xml:space="preserve">crates.io </t>
    </r>
    <r>
      <rPr>
        <sz val="10"/>
        <color rgb="FF000000"/>
        <rFont val="Noto Sans CJK SC"/>
        <family val="2"/>
      </rPr>
      <t xml:space="preserve">배포 및 </t>
    </r>
    <r>
      <rPr>
        <sz val="10"/>
        <color rgb="FF000000"/>
        <rFont val="Arial"/>
        <family val="0"/>
        <charset val="1"/>
      </rPr>
      <t xml:space="preserve">v0.6.x </t>
    </r>
    <r>
      <rPr>
        <sz val="10"/>
        <color rgb="FF000000"/>
        <rFont val="Noto Sans CJK SC"/>
        <family val="2"/>
      </rPr>
      <t xml:space="preserve">충실도 버그 수정 집중 구간</t>
    </r>
  </si>
  <si>
    <t xml:space="preserve">진행 중</t>
  </si>
  <si>
    <r>
      <rPr>
        <b val="true"/>
        <sz val="11"/>
        <color rgb="FF1F3864"/>
        <rFont val="Arial"/>
        <family val="0"/>
        <charset val="1"/>
      </rPr>
      <t xml:space="preserve">4. </t>
    </r>
    <r>
      <rPr>
        <b val="true"/>
        <sz val="11"/>
        <color rgb="FF1F3864"/>
        <rFont val="Noto Sans CJK SC"/>
        <family val="2"/>
      </rPr>
      <t xml:space="preserve">리스크 및 완화 </t>
    </r>
    <r>
      <rPr>
        <b val="true"/>
        <sz val="11"/>
        <color rgb="FF1F3864"/>
        <rFont val="Arial"/>
        <family val="0"/>
        <charset val="1"/>
      </rPr>
      <t xml:space="preserve">(PRD 10</t>
    </r>
    <r>
      <rPr>
        <b val="true"/>
        <sz val="11"/>
        <color rgb="FF1F3864"/>
        <rFont val="Noto Sans CJK SC"/>
        <family val="2"/>
      </rPr>
      <t xml:space="preserve">장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</si>
  <si>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리스크</t>
  </si>
  <si>
    <t xml:space="preserve">영향</t>
  </si>
  <si>
    <t xml:space="preserve">완화 전략</t>
  </si>
  <si>
    <t xml:space="preserve">실제 적용 근거</t>
  </si>
  <si>
    <r>
      <rPr>
        <sz val="10"/>
        <color rgb="FF000000"/>
        <rFont val="Arial"/>
        <family val="0"/>
        <charset val="1"/>
      </rPr>
      <t xml:space="preserve">OOXML </t>
    </r>
    <r>
      <rPr>
        <sz val="10"/>
        <color rgb="FF000000"/>
        <rFont val="Noto Sans CJK SC"/>
        <family val="2"/>
      </rPr>
      <t xml:space="preserve">명세 복잡도</t>
    </r>
  </si>
  <si>
    <t xml:space="preserve">파싱 크레이트가 전체 요소를 지원하지 못함</t>
  </si>
  <si>
    <r>
      <rPr>
        <sz val="10"/>
        <color rgb="FF000000"/>
        <rFont val="Noto Sans CJK SC"/>
        <family val="2"/>
      </rPr>
      <t xml:space="preserve">미지원 요소 건너뛰기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경고 로그</t>
    </r>
  </si>
  <si>
    <r>
      <rPr>
        <sz val="10"/>
        <color rgb="FF000000"/>
        <rFont val="Arial"/>
        <family val="0"/>
        <charset val="1"/>
      </rPr>
      <t xml:space="preserve">ParseSkipped/UnsupportedElement </t>
    </r>
    <r>
      <rPr>
        <sz val="10"/>
        <color rgb="FF000000"/>
        <rFont val="Noto Sans CJK SC"/>
        <family val="2"/>
      </rPr>
      <t xml:space="preserve">진단 변형</t>
    </r>
  </si>
  <si>
    <r>
      <rPr>
        <sz val="10"/>
        <color rgb="FF000000"/>
        <rFont val="Arial"/>
        <family val="0"/>
        <charset val="1"/>
      </rPr>
      <t xml:space="preserve">Typst </t>
    </r>
    <r>
      <rPr>
        <sz val="10"/>
        <color rgb="FF000000"/>
        <rFont val="Noto Sans CJK SC"/>
        <family val="2"/>
      </rPr>
      <t xml:space="preserve">표현력 한계</t>
    </r>
  </si>
  <si>
    <r>
      <rPr>
        <sz val="10"/>
        <color rgb="FF000000"/>
        <rFont val="Noto Sans CJK SC"/>
        <family val="2"/>
      </rPr>
      <t xml:space="preserve">일부 레이아웃을 </t>
    </r>
    <r>
      <rPr>
        <sz val="10"/>
        <color rgb="FF000000"/>
        <rFont val="Arial"/>
        <family val="0"/>
        <charset val="1"/>
      </rPr>
      <t xml:space="preserve">Typst</t>
    </r>
    <r>
      <rPr>
        <sz val="10"/>
        <color rgb="FF000000"/>
        <rFont val="Noto Sans CJK SC"/>
        <family val="2"/>
      </rPr>
      <t xml:space="preserve">로 표현 불가</t>
    </r>
  </si>
  <si>
    <r>
      <rPr>
        <sz val="10"/>
        <color rgb="FF000000"/>
        <rFont val="Arial"/>
        <family val="0"/>
        <charset val="1"/>
      </rPr>
      <t xml:space="preserve">Typst </t>
    </r>
    <r>
      <rPr>
        <sz val="10"/>
        <color rgb="FF000000"/>
        <rFont val="Noto Sans CJK SC"/>
        <family val="2"/>
      </rPr>
      <t xml:space="preserve">표현 범위 내 최선 근사</t>
    </r>
  </si>
  <si>
    <r>
      <rPr>
        <sz val="10"/>
        <color rgb="FF000000"/>
        <rFont val="Arial"/>
        <family val="0"/>
        <charset val="1"/>
      </rPr>
      <t xml:space="preserve">v0.6.4 </t>
    </r>
    <r>
      <rPr>
        <sz val="10"/>
        <color rgb="FF000000"/>
        <rFont val="Noto Sans CJK SC"/>
        <family val="2"/>
      </rPr>
      <t xml:space="preserve">그림자 블러를 반투명 링 적층으로 근사</t>
    </r>
    <r>
      <rPr>
        <sz val="10"/>
        <color rgb="FF000000"/>
        <rFont val="Arial"/>
        <family val="0"/>
        <charset val="1"/>
      </rPr>
      <t xml:space="preserve">(#400)</t>
    </r>
  </si>
  <si>
    <t xml:space="preserve">폰트 호환성</t>
  </si>
  <si>
    <t xml:space="preserve">원본 폰트 부재</t>
  </si>
  <si>
    <r>
      <rPr>
        <sz val="10"/>
        <color rgb="FF000000"/>
        <rFont val="Noto Sans CJK SC"/>
        <family val="2"/>
      </rPr>
      <t xml:space="preserve">시스템 폰트 탐색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폴백 매핑</t>
    </r>
  </si>
  <si>
    <r>
      <rPr>
        <sz val="10"/>
        <color rgb="FF000000"/>
        <rFont val="Arial"/>
        <family val="0"/>
        <charset val="1"/>
      </rPr>
      <t xml:space="preserve">macOS Office </t>
    </r>
    <r>
      <rPr>
        <sz val="10"/>
        <color rgb="FF000000"/>
        <rFont val="Noto Sans CJK SC"/>
        <family val="2"/>
      </rPr>
      <t xml:space="preserve">폰트 자동 탐색</t>
    </r>
    <r>
      <rPr>
        <sz val="10"/>
        <color rgb="FF000000"/>
        <rFont val="Arial"/>
        <family val="0"/>
        <charset val="1"/>
      </rPr>
      <t xml:space="preserve">, CJK </t>
    </r>
    <r>
      <rPr>
        <sz val="10"/>
        <color rgb="FF000000"/>
        <rFont val="Noto Sans CJK SC"/>
        <family val="2"/>
      </rPr>
      <t xml:space="preserve">로컬 이름 매칭</t>
    </r>
  </si>
  <si>
    <t xml:space="preserve">파싱 크레이트 유지보수 중단</t>
  </si>
  <si>
    <t xml:space="preserve">의존 크레이트 방치 위험</t>
  </si>
  <si>
    <r>
      <rPr>
        <sz val="10"/>
        <color rgb="FF000000"/>
        <rFont val="Noto Sans CJK SC"/>
        <family val="2"/>
      </rPr>
      <t xml:space="preserve">포크 준비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핵심 파서 자체 구현 검토</t>
    </r>
  </si>
  <si>
    <r>
      <rPr>
        <sz val="10"/>
        <color rgb="FF000000"/>
        <rFont val="Arial"/>
        <family val="0"/>
        <charset val="1"/>
      </rPr>
      <t xml:space="preserve">docx-rs·umya-spreadsheet </t>
    </r>
    <r>
      <rPr>
        <sz val="10"/>
        <color rgb="FF000000"/>
        <rFont val="Noto Sans CJK SC"/>
        <family val="2"/>
      </rPr>
      <t xml:space="preserve">포크 고정</t>
    </r>
    <r>
      <rPr>
        <sz val="10"/>
        <color rgb="FF000000"/>
        <rFont val="Arial"/>
        <family val="0"/>
        <charset val="1"/>
      </rPr>
      <t xml:space="preserve">, PPTX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quick-xml </t>
    </r>
    <r>
      <rPr>
        <sz val="10"/>
        <color rgb="FF000000"/>
        <rFont val="Noto Sans CJK SC"/>
        <family val="2"/>
      </rPr>
      <t xml:space="preserve">기반 자체 파서</t>
    </r>
  </si>
  <si>
    <r>
      <rPr>
        <b val="true"/>
        <sz val="11"/>
        <color rgb="FF1F3864"/>
        <rFont val="Arial"/>
        <family val="0"/>
        <charset val="1"/>
      </rPr>
      <t xml:space="preserve">5. </t>
    </r>
    <r>
      <rPr>
        <b val="true"/>
        <sz val="11"/>
        <color rgb="FF1F3864"/>
        <rFont val="Noto Sans CJK SC"/>
        <family val="2"/>
      </rPr>
      <t xml:space="preserve">문서</t>
    </r>
    <r>
      <rPr>
        <b val="true"/>
        <sz val="11"/>
        <color rgb="FF1F3864"/>
        <rFont val="Arial"/>
        <family val="0"/>
        <charset val="1"/>
      </rPr>
      <t xml:space="preserve">-</t>
    </r>
    <r>
      <rPr>
        <b val="true"/>
        <sz val="11"/>
        <color rgb="FF1F3864"/>
        <rFont val="Noto Sans CJK SC"/>
        <family val="2"/>
      </rPr>
      <t xml:space="preserve">구현 격차 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본 워크북 대조 결과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</si>
  <si>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미기재 </t>
    </r>
    <r>
      <rPr>
        <sz val="10"/>
        <color rgb="FF000000"/>
        <rFont val="Arial"/>
        <family val="0"/>
        <charset val="1"/>
      </rPr>
      <t xml:space="preserve">CLI </t>
    </r>
    <r>
      <rPr>
        <sz val="10"/>
        <color rgb="FF000000"/>
        <rFont val="Noto Sans CJK SC"/>
        <family val="2"/>
      </rPr>
      <t xml:space="preserve">옵션</t>
    </r>
  </si>
  <si>
    <r>
      <rPr>
        <sz val="10"/>
        <color rgb="FF000000"/>
        <rFont val="Arial"/>
        <family val="0"/>
        <charset val="1"/>
      </rPr>
      <t xml:space="preserve">--tagged, --pdf-ua, --streaming, --streaming-chunk-size, --metrics, --jobs (6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</si>
  <si>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03_CLI_</t>
    </r>
    <r>
      <rPr>
        <sz val="10"/>
        <color rgb="FF000000"/>
        <rFont val="Noto Sans CJK SC"/>
        <family val="2"/>
      </rPr>
      <t xml:space="preserve">옵션 시트</t>
    </r>
  </si>
  <si>
    <t xml:space="preserve">문서 갱신 후보</t>
  </si>
  <si>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미기재 서브커맨드</t>
    </r>
  </si>
  <si>
    <r>
      <rPr>
        <sz val="10"/>
        <color rgb="FF000000"/>
        <rFont val="Arial"/>
        <family val="0"/>
        <charset val="1"/>
      </rPr>
      <t xml:space="preserve">merge, split, server (3</t>
    </r>
    <r>
      <rPr>
        <sz val="10"/>
        <color rgb="FF000000"/>
        <rFont val="Noto Sans CJK SC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</si>
  <si>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main.rs Commands </t>
    </r>
    <r>
      <rPr>
        <sz val="10"/>
        <color rgb="FF000000"/>
        <rFont val="Noto Sans CJK SC"/>
        <family val="2"/>
      </rPr>
      <t xml:space="preserve">열거형</t>
    </r>
  </si>
  <si>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축소 기술</t>
    </r>
  </si>
  <si>
    <r>
      <rPr>
        <sz val="10"/>
        <color rgb="FF000000"/>
        <rFont val="Arial"/>
        <family val="0"/>
        <charset val="1"/>
      </rPr>
      <t xml:space="preserve">XLSX </t>
    </r>
    <r>
      <rPr>
        <sz val="10"/>
        <color rgb="FF000000"/>
        <rFont val="Noto Sans CJK SC"/>
        <family val="2"/>
      </rPr>
      <t xml:space="preserve">조건부 서식은 </t>
    </r>
    <r>
      <rPr>
        <sz val="10"/>
        <color rgb="FF000000"/>
        <rFont val="Arial"/>
        <family val="0"/>
        <charset val="1"/>
      </rPr>
      <t xml:space="preserve">DataBar/IconSet</t>
    </r>
    <r>
      <rPr>
        <sz val="10"/>
        <color rgb="FF000000"/>
        <rFont val="Noto Sans CJK SC"/>
        <family val="2"/>
      </rPr>
      <t xml:space="preserve">만 기재되나 </t>
    </r>
    <r>
      <rPr>
        <sz val="10"/>
        <color rgb="FF000000"/>
        <rFont val="Arial"/>
        <family val="0"/>
        <charset val="1"/>
      </rPr>
      <t xml:space="preserve">ColorScale·cellIs·</t>
    </r>
    <r>
      <rPr>
        <sz val="10"/>
        <color rgb="FF000000"/>
        <rFont val="Noto Sans CJK SC"/>
        <family val="2"/>
      </rPr>
      <t xml:space="preserve">텍스트 규칙도 구현</t>
    </r>
  </si>
  <si>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기재 대비 근거 미확인</t>
    </r>
  </si>
  <si>
    <r>
      <rPr>
        <sz val="10"/>
        <color rgb="FF000000"/>
        <rFont val="Arial"/>
        <family val="0"/>
        <charset val="1"/>
      </rPr>
      <t xml:space="preserve">PPTX </t>
    </r>
    <r>
      <rPr>
        <sz val="10"/>
        <color rgb="FF000000"/>
        <rFont val="Noto Sans CJK SC"/>
        <family val="2"/>
      </rPr>
      <t xml:space="preserve">발표자 노트</t>
    </r>
    <r>
      <rPr>
        <sz val="10"/>
        <color rgb="FF000000"/>
        <rFont val="Arial"/>
        <family val="0"/>
        <charset val="1"/>
      </rPr>
      <t xml:space="preserve">(speaker notes) — main </t>
    </r>
    <r>
      <rPr>
        <sz val="10"/>
        <color rgb="FF000000"/>
        <rFont val="Noto Sans CJK SC"/>
        <family val="2"/>
      </rPr>
      <t xml:space="preserve">소스에서 </t>
    </r>
    <r>
      <rPr>
        <sz val="10"/>
        <color rgb="FF000000"/>
        <rFont val="Arial"/>
        <family val="0"/>
        <charset val="1"/>
      </rPr>
      <t xml:space="preserve">notesSlide </t>
    </r>
    <r>
      <rPr>
        <sz val="10"/>
        <color rgb="FF000000"/>
        <rFont val="Noto Sans CJK SC"/>
        <family val="2"/>
      </rPr>
      <t xml:space="preserve">처리 미검출</t>
    </r>
  </si>
  <si>
    <r>
      <rPr>
        <sz val="10"/>
        <color rgb="FF000000"/>
        <rFont val="Arial"/>
        <family val="0"/>
        <charset val="1"/>
      </rPr>
      <t xml:space="preserve">02_</t>
    </r>
    <r>
      <rPr>
        <sz val="10"/>
        <color rgb="FF000000"/>
        <rFont val="Noto Sans CJK SC"/>
        <family val="2"/>
      </rPr>
      <t xml:space="preserve">기능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매트릭스 </t>
    </r>
    <r>
      <rPr>
        <sz val="10"/>
        <color rgb="FF000000"/>
        <rFont val="Arial"/>
        <family val="0"/>
        <charset val="1"/>
      </rPr>
      <t xml:space="preserve">F-036</t>
    </r>
  </si>
  <si>
    <t xml:space="preserve">재확인 필요</t>
  </si>
  <si>
    <r>
      <rPr>
        <sz val="10"/>
        <color rgb="FF000000"/>
        <rFont val="Arial"/>
        <family val="0"/>
        <charset val="1"/>
      </rPr>
      <t xml:space="preserve">PRD </t>
    </r>
    <r>
      <rPr>
        <sz val="10"/>
        <color rgb="FF000000"/>
        <rFont val="Noto Sans CJK SC"/>
        <family val="2"/>
      </rPr>
      <t xml:space="preserve">기술 스택 불일치</t>
    </r>
  </si>
  <si>
    <r>
      <rPr>
        <sz val="10"/>
        <color rgb="FF000000"/>
        <rFont val="Arial"/>
        <family val="0"/>
        <charset val="1"/>
      </rPr>
      <t xml:space="preserve">PRD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Arial"/>
        <family val="0"/>
        <charset val="1"/>
      </rPr>
      <t xml:space="preserve">PPTX </t>
    </r>
    <r>
      <rPr>
        <sz val="10"/>
        <color rgb="FF000000"/>
        <rFont val="Noto Sans CJK SC"/>
        <family val="2"/>
      </rPr>
      <t xml:space="preserve">파서로 </t>
    </r>
    <r>
      <rPr>
        <sz val="10"/>
        <color rgb="FF000000"/>
        <rFont val="Arial"/>
        <family val="0"/>
        <charset val="1"/>
      </rPr>
      <t xml:space="preserve">ppt-rs </t>
    </r>
    <r>
      <rPr>
        <sz val="10"/>
        <color rgb="FF000000"/>
        <rFont val="Noto Sans CJK SC"/>
        <family val="2"/>
      </rPr>
      <t xml:space="preserve">를 명시하나 실제로는 </t>
    </r>
    <r>
      <rPr>
        <sz val="10"/>
        <color rgb="FF000000"/>
        <rFont val="Arial"/>
        <family val="0"/>
        <charset val="1"/>
      </rPr>
      <t xml:space="preserve">quick-xml </t>
    </r>
    <r>
      <rPr>
        <sz val="10"/>
        <color rgb="FF000000"/>
        <rFont val="Noto Sans CJK SC"/>
        <family val="2"/>
      </rPr>
      <t xml:space="preserve">기반 자체 구현</t>
    </r>
  </si>
  <si>
    <r>
      <rPr>
        <sz val="10"/>
        <color rgb="FF000000"/>
        <rFont val="Arial"/>
        <family val="0"/>
        <charset val="1"/>
      </rPr>
      <t xml:space="preserve">Cargo.toml </t>
    </r>
    <r>
      <rPr>
        <sz val="10"/>
        <color rgb="FF000000"/>
        <rFont val="Noto Sans CJK SC"/>
        <family val="2"/>
      </rPr>
      <t xml:space="preserve">대조</t>
    </r>
  </si>
  <si>
    <r>
      <rPr>
        <sz val="10"/>
        <color rgb="FF000000"/>
        <rFont val="Arial"/>
        <family val="0"/>
        <charset val="1"/>
      </rPr>
      <t xml:space="preserve">PRD </t>
    </r>
    <r>
      <rPr>
        <sz val="10"/>
        <color rgb="FF000000"/>
        <rFont val="Noto Sans CJK SC"/>
        <family val="2"/>
      </rPr>
      <t xml:space="preserve">갱신 후보</t>
    </r>
  </si>
  <si>
    <r>
      <rPr>
        <i val="true"/>
        <sz val="8"/>
        <color rgb="FF7F7F7F"/>
        <rFont val="Noto Sans CJK SC"/>
        <family val="2"/>
      </rPr>
      <t xml:space="preserve">본 시트의 </t>
    </r>
    <r>
      <rPr>
        <i val="true"/>
        <sz val="8"/>
        <color rgb="FF7F7F7F"/>
        <rFont val="Arial"/>
        <family val="0"/>
        <charset val="1"/>
      </rPr>
      <t xml:space="preserve">'</t>
    </r>
    <r>
      <rPr>
        <i val="true"/>
        <sz val="8"/>
        <color rgb="FF7F7F7F"/>
        <rFont val="Noto Sans CJK SC"/>
        <family val="2"/>
      </rPr>
      <t xml:space="preserve">격차</t>
    </r>
    <r>
      <rPr>
        <i val="true"/>
        <sz val="8"/>
        <color rgb="FF7F7F7F"/>
        <rFont val="Arial"/>
        <family val="0"/>
        <charset val="1"/>
      </rPr>
      <t xml:space="preserve">'</t>
    </r>
    <r>
      <rPr>
        <i val="true"/>
        <sz val="8"/>
        <color rgb="FF7F7F7F"/>
        <rFont val="Noto Sans CJK SC"/>
        <family val="2"/>
      </rPr>
      <t xml:space="preserve">는 결함 지적이 아니라</t>
    </r>
    <r>
      <rPr>
        <i val="true"/>
        <sz val="8"/>
        <color rgb="FF7F7F7F"/>
        <rFont val="Arial"/>
        <family val="0"/>
        <charset val="1"/>
      </rPr>
      <t xml:space="preserve">, </t>
    </r>
    <r>
      <rPr>
        <i val="true"/>
        <sz val="8"/>
        <color rgb="FF7F7F7F"/>
        <rFont val="Noto Sans CJK SC"/>
        <family val="2"/>
      </rPr>
      <t xml:space="preserve">문서와 구현이 서로 다른 속도로 진화한 지점을 표시한 것입니다</t>
    </r>
    <r>
      <rPr>
        <i val="true"/>
        <sz val="8"/>
        <color rgb="FF7F7F7F"/>
        <rFont val="Arial"/>
        <family val="0"/>
        <charset val="1"/>
      </rPr>
      <t xml:space="preserve">. </t>
    </r>
    <r>
      <rPr>
        <i val="true"/>
        <sz val="8"/>
        <color rgb="FF7F7F7F"/>
        <rFont val="Noto Sans CJK SC"/>
        <family val="2"/>
      </rPr>
      <t xml:space="preserve">각 항목은 해당 시트의 근거 셀에서 원천 파일 경로를 확인할 수 있습니다</t>
    </r>
    <r>
      <rPr>
        <i val="true"/>
        <sz val="8"/>
        <color rgb="FF7F7F7F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</si>
</sst>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"/>
    <numFmt numFmtId="167" formatCode="0.0%"/>
    <numFmt numFmtId="168" formatCode="0%"/>
    <numFmt numFmtId="169" formatCode="General"/>
    <numFmt numFmtId="170" formatCode="0.00%"/>
    <numFmt numFmtId="171" formatCode="yyyy\-mm\-dd"/>
    <numFmt numFmtId="172" formatCode="#,##0.0"/>
    <numFmt numFmtId="173" formatCode="@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5"/>
      <color rgb="FFFFFFFF"/>
      <name val="Noto Sans CJK SC"/>
      <family val="2"/>
    </font>
    <font>
      <i val="true"/>
      <sz val="9"/>
      <color rgb="FF404040"/>
      <name val="Arial"/>
      <family val="0"/>
      <charset val="1"/>
    </font>
    <font>
      <i val="true"/>
      <sz val="9"/>
      <color rgb="FF404040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Noto Sans CJK SC"/>
      <family val="2"/>
    </font>
    <font>
      <u val="single"/>
      <sz val="10"/>
      <color rgb="FF0563C1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595959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3864"/>
      <name val="Noto Sans CJK SC"/>
      <family val="2"/>
    </font>
    <font>
      <sz val="9"/>
      <name val="Noto Sans CJK SC"/>
      <family val="2"/>
    </font>
    <font>
      <sz val="9"/>
      <name val="Arial"/>
      <family val="0"/>
      <charset val="1"/>
    </font>
    <font>
      <i val="true"/>
      <sz val="8"/>
      <color rgb="FF7F7F7F"/>
      <name val="Noto Sans CJK SC"/>
      <family val="2"/>
    </font>
    <font>
      <i val="true"/>
      <sz val="8"/>
      <color rgb="FF7F7F7F"/>
      <name val="Arial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C00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9"/>
      <color rgb="FF7F7F7F"/>
      <name val="Noto Sans CJK SC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D9E2F3"/>
        <bgColor rgb="FFD9D9D9"/>
      </patternFill>
    </fill>
    <fill>
      <patternFill patternType="solid">
        <fgColor rgb="FF2E5C8A"/>
        <bgColor rgb="FF2E75B6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3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3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1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ont>
        <name val="Arial"/>
        <charset val="1"/>
        <family val="0"/>
        <b val="1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sz val="10"/>
      </font>
      <fill>
        <patternFill>
          <bgColor rgb="FFFFD966"/>
        </patternFill>
      </fill>
    </dxf>
    <dxf>
      <fill>
        <patternFill>
          <bgColor rgb="FFFFF2CC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8C07D"/>
          <bgColor rgb="FF000000"/>
        </patternFill>
      </fill>
    </dxf>
    <dxf>
      <fill>
        <patternFill patternType="solid">
          <fgColor rgb="FF7AC580"/>
          <bgColor rgb="FF000000"/>
        </patternFill>
      </fill>
    </dxf>
    <dxf>
      <fill>
        <patternFill patternType="solid">
          <fgColor rgb="FF89C983"/>
          <bgColor rgb="FF000000"/>
        </patternFill>
      </fill>
    </dxf>
    <dxf>
      <fill>
        <patternFill patternType="solid">
          <fgColor rgb="FF93CC85"/>
          <bgColor rgb="FF000000"/>
        </patternFill>
      </fill>
    </dxf>
    <dxf>
      <fill>
        <patternFill patternType="solid">
          <fgColor rgb="FFA1D089"/>
          <bgColor rgb="FF000000"/>
        </patternFill>
      </fill>
    </dxf>
    <dxf>
      <fill>
        <patternFill patternType="solid">
          <fgColor rgb="FFA4D189"/>
          <bgColor rgb="FF000000"/>
        </patternFill>
      </fill>
    </dxf>
    <dxf>
      <fill>
        <patternFill patternType="solid">
          <fgColor rgb="FFABD38B"/>
          <bgColor rgb="FF000000"/>
        </patternFill>
      </fill>
    </dxf>
    <dxf>
      <fill>
        <patternFill patternType="solid">
          <fgColor rgb="FFAED48B"/>
          <bgColor rgb="FF000000"/>
        </patternFill>
      </fill>
    </dxf>
    <dxf>
      <fill>
        <patternFill patternType="solid">
          <fgColor rgb="FFB3D58C"/>
          <bgColor rgb="FF000000"/>
        </patternFill>
      </fill>
    </dxf>
    <dxf>
      <fill>
        <patternFill patternType="solid">
          <fgColor rgb="FFB8D78D"/>
          <bgColor rgb="FF000000"/>
        </patternFill>
      </fill>
    </dxf>
    <dxf>
      <fill>
        <patternFill patternType="solid">
          <fgColor rgb="FFC4DA90"/>
          <bgColor rgb="FF000000"/>
        </patternFill>
      </fill>
    </dxf>
    <dxf>
      <fill>
        <patternFill patternType="solid">
          <fgColor rgb="FFCBDC91"/>
          <bgColor rgb="FF000000"/>
        </patternFill>
      </fill>
    </dxf>
    <dxf>
      <fill>
        <patternFill patternType="solid">
          <fgColor rgb="FFD0DE93"/>
          <bgColor rgb="FF000000"/>
        </patternFill>
      </fill>
    </dxf>
    <dxf>
      <fill>
        <patternFill patternType="solid">
          <fgColor rgb="FFD3DF93"/>
          <bgColor rgb="FF000000"/>
        </patternFill>
      </fill>
    </dxf>
    <dxf>
      <fill>
        <patternFill patternType="solid">
          <fgColor rgb="FFD5DF94"/>
          <bgColor rgb="FF000000"/>
        </patternFill>
      </fill>
    </dxf>
    <dxf>
      <fill>
        <patternFill patternType="solid">
          <fgColor rgb="FFD8E094"/>
          <bgColor rgb="FF000000"/>
        </patternFill>
      </fill>
    </dxf>
    <dxf>
      <fill>
        <patternFill patternType="solid">
          <fgColor rgb="FFDAE195"/>
          <bgColor rgb="FF000000"/>
        </patternFill>
      </fill>
    </dxf>
    <dxf>
      <fill>
        <patternFill patternType="solid">
          <fgColor rgb="FFDDE195"/>
          <bgColor rgb="FF000000"/>
        </patternFill>
      </fill>
    </dxf>
    <dxf>
      <fill>
        <patternFill patternType="solid">
          <fgColor rgb="FFDFE296"/>
          <bgColor rgb="FF000000"/>
        </patternFill>
      </fill>
    </dxf>
    <dxf>
      <fill>
        <patternFill patternType="solid">
          <fgColor rgb="FFE2E396"/>
          <bgColor rgb="FF000000"/>
        </patternFill>
      </fill>
    </dxf>
    <dxf>
      <fill>
        <patternFill patternType="solid">
          <fgColor rgb="FFE4E497"/>
          <bgColor rgb="FF000000"/>
        </patternFill>
      </fill>
    </dxf>
    <dxf>
      <fill>
        <patternFill patternType="solid">
          <fgColor rgb="FFE7E497"/>
          <bgColor rgb="FF000000"/>
        </patternFill>
      </fill>
    </dxf>
    <dxf>
      <fill>
        <patternFill patternType="solid">
          <fgColor rgb="FFE9E598"/>
          <bgColor rgb="FF000000"/>
        </patternFill>
      </fill>
    </dxf>
    <dxf>
      <fill>
        <patternFill patternType="solid">
          <fgColor rgb="FFECE698"/>
          <bgColor rgb="FF000000"/>
        </patternFill>
      </fill>
    </dxf>
    <dxf>
      <fill>
        <patternFill patternType="solid">
          <fgColor rgb="FFEEE699"/>
          <bgColor rgb="FF000000"/>
        </patternFill>
      </fill>
    </dxf>
    <dxf>
      <fill>
        <patternFill patternType="solid">
          <fgColor rgb="FFF1E799"/>
          <bgColor rgb="FF000000"/>
        </patternFill>
      </fill>
    </dxf>
    <dxf>
      <fill>
        <patternFill patternType="solid">
          <fgColor rgb="FFF3E89A"/>
          <bgColor rgb="FF000000"/>
        </patternFill>
      </fill>
    </dxf>
    <dxf>
      <fill>
        <patternFill patternType="solid">
          <fgColor rgb="FFF6E99A"/>
          <bgColor rgb="FF000000"/>
        </patternFill>
      </fill>
    </dxf>
    <dxf>
      <fill>
        <patternFill patternType="solid">
          <fgColor rgb="FFF8E99B"/>
          <bgColor rgb="FF000000"/>
        </patternFill>
      </fill>
    </dxf>
    <dxf>
      <fill>
        <patternFill patternType="solid">
          <fgColor rgb="FFFBEA9B"/>
          <bgColor rgb="FF000000"/>
        </patternFill>
      </fill>
    </dxf>
    <dxf>
      <fill>
        <patternFill patternType="solid">
          <fgColor rgb="FFFD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FB0"/>
          <bgColor rgb="FF000000"/>
        </patternFill>
      </fill>
    </dxf>
    <dxf>
      <fill>
        <patternFill patternType="solid">
          <fgColor rgb="FFFFF3C4"/>
          <bgColor rgb="FF000000"/>
        </patternFill>
      </fill>
    </dxf>
    <dxf>
      <fill>
        <patternFill patternType="solid">
          <fgColor rgb="FFFFF7D8"/>
          <bgColor rgb="FF000000"/>
        </patternFill>
      </fill>
    </dxf>
    <dxf>
      <fill>
        <patternFill patternType="solid">
          <fgColor rgb="FFFFFBEC"/>
          <bgColor rgb="FF000000"/>
        </patternFill>
      </fill>
    </dxf>
    <dxf>
      <font>
        <name val="Arial"/>
        <charset val="1"/>
        <family val="0"/>
        <i val="1"/>
        <color rgb="FF7F7F7F"/>
        <sz val="9"/>
      </font>
    </dxf>
    <dxf>
      <fill>
        <patternFill patternType="solid">
          <fgColor rgb="FFD9E2F3"/>
          <bgColor rgb="FF000000"/>
        </patternFill>
      </fill>
    </dxf>
    <dxf>
      <fill>
        <patternFill>
          <bgColor rgb="FFD9E2F3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A50E0E"/>
      <rgbColor rgb="FF008000"/>
      <rgbColor rgb="FF000080"/>
      <rgbColor rgb="FF7F6000"/>
      <rgbColor rgb="FF800080"/>
      <rgbColor rgb="FF2E5C8A"/>
      <rgbColor rgb="FFBFBFBF"/>
      <rgbColor rgb="FF7F7F7F"/>
      <rgbColor rgb="FF9999FF"/>
      <rgbColor rgb="FFBE4B48"/>
      <rgbColor rgb="FFFFF2CC"/>
      <rgbColor rgb="FFF2F2F2"/>
      <rgbColor rgb="FF660066"/>
      <rgbColor rgb="FFC0504D"/>
      <rgbColor rgb="FF0563C1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CE4D6"/>
      <rgbColor rgb="FFD9D9D9"/>
      <rgbColor rgb="FFF9F9F9"/>
      <rgbColor rgb="FFCC99FF"/>
      <rgbColor rgb="FFFFC7CE"/>
      <rgbColor rgb="FF2E75B6"/>
      <rgbColor rgb="FF33CCCC"/>
      <rgbColor rgb="FF9BBB59"/>
      <rgbColor rgb="FFFFD966"/>
      <rgbColor rgb="FFFF9900"/>
      <rgbColor rgb="FFC55A11"/>
      <rgbColor rgb="FF595959"/>
      <rgbColor rgb="FF878787"/>
      <rgbColor rgb="FF1F3864"/>
      <rgbColor rgb="FF4F81BD"/>
      <rgbColor rgb="FF003300"/>
      <rgbColor rgb="FF375623"/>
      <rgbColor rgb="FF833C00"/>
      <rgbColor rgb="FF7030A0"/>
      <rgbColor rgb="FF203864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계층별 프로덕션 LOC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01_대시보드!C14</c:f>
              <c:strCache>
                <c:ptCount val="1"/>
                <c:pt idx="0">
                  <c:v>프로덕션 LOC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01_대시보드!$B$15:$B$19</c:f>
              <c:strCache>
                <c:ptCount val="5"/>
                <c:pt idx="0">
                  <c:v>parser</c:v>
                </c:pt>
                <c:pt idx="1">
                  <c:v>render</c:v>
                </c:pt>
                <c:pt idx="2">
                  <c:v>core</c:v>
                </c:pt>
                <c:pt idx="3">
                  <c:v>ir</c:v>
                </c:pt>
                <c:pt idx="4">
                  <c:v>integration-tests</c:v>
                </c:pt>
              </c:strCache>
            </c:strRef>
          </c:cat>
          <c:val>
            <c:numRef>
              <c:f>01_대시보드!$C$15:$C$19</c:f>
              <c:numCache>
                <c:formatCode>#,##0</c:formatCode>
                <c:ptCount val="5"/>
                <c:pt idx="0">
                  <c:v>23334</c:v>
                </c:pt>
                <c:pt idx="1">
                  <c:v>8331</c:v>
                </c:pt>
                <c:pt idx="2">
                  <c:v>2727</c:v>
                </c:pt>
                <c:pt idx="3">
                  <c:v>1184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59291440"/>
        <c:axId val="21056836"/>
      </c:barChart>
      <c:catAx>
        <c:axId val="592914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계층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56836"/>
        <c:crosses val="autoZero"/>
        <c:auto val="1"/>
        <c:lblAlgn val="ctr"/>
        <c:lblOffset val="100"/>
        <c:noMultiLvlLbl val="0"/>
      </c:catAx>
      <c:valAx>
        <c:axId val="210568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91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포맷별 커밋 픽스처 문서 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01_대시보드!F14</c:f>
              <c:strCache>
                <c:ptCount val="1"/>
                <c:pt idx="0">
                  <c:v>커밋 픽스처 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01_대시보드!$E$15:$E$17</c:f>
              <c:strCache>
                <c:ptCount val="3"/>
                <c:pt idx="0">
                  <c:v>DOCX</c:v>
                </c:pt>
                <c:pt idx="1">
                  <c:v>PPTX</c:v>
                </c:pt>
                <c:pt idx="2">
                  <c:v>XLSX</c:v>
                </c:pt>
              </c:strCache>
            </c:strRef>
          </c:cat>
          <c:val>
            <c:numRef>
              <c:f>01_대시보드!$F$15:$F$17</c:f>
              <c:numCache>
                <c:formatCode>#,##0</c:formatCode>
                <c:ptCount val="3"/>
                <c:pt idx="0">
                  <c:v>115</c:v>
                </c:pt>
                <c:pt idx="1">
                  <c:v>92</c:v>
                </c:pt>
                <c:pt idx="2">
                  <c:v>138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릴리스 간격(일)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06_릴리스_이력!G4</c:f>
              <c:strCache>
                <c:ptCount val="1"/>
                <c:pt idx="0">
                  <c:v>이전 대비 경과일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06_릴리스_이력!$B$5:$B$14</c:f>
              <c:strCache>
                <c:ptCount val="10"/>
                <c:pt idx="0">
                  <c:v>v0.1.0</c:v>
                </c:pt>
                <c:pt idx="1">
                  <c:v>v0.2.0</c:v>
                </c:pt>
                <c:pt idx="2">
                  <c:v>v0.3.0</c:v>
                </c:pt>
                <c:pt idx="3">
                  <c:v>v0.4.0</c:v>
                </c:pt>
                <c:pt idx="4">
                  <c:v>v0.5.0</c:v>
                </c:pt>
                <c:pt idx="5">
                  <c:v>v0.6.0</c:v>
                </c:pt>
                <c:pt idx="6">
                  <c:v>v0.6.1</c:v>
                </c:pt>
                <c:pt idx="7">
                  <c:v>v0.6.2</c:v>
                </c:pt>
                <c:pt idx="8">
                  <c:v>v0.6.3</c:v>
                </c:pt>
                <c:pt idx="9">
                  <c:v>v0.6.4</c:v>
                </c:pt>
              </c:strCache>
            </c:strRef>
          </c:cat>
          <c:val>
            <c:numRef>
              <c:f>06_릴리스_이력!$G$5:$G$14</c:f>
              <c:numCache>
                <c:formatCode>#,##0</c:formatCode>
                <c:ptCount val="10"/>
                <c:pt idx="2">
                  <c:v>0</c:v>
                </c:pt>
                <c:pt idx="3">
                  <c:v>15</c:v>
                </c:pt>
                <c:pt idx="4">
                  <c:v>1</c:v>
                </c:pt>
                <c:pt idx="5">
                  <c:v>78</c:v>
                </c:pt>
                <c:pt idx="6">
                  <c:v>40</c:v>
                </c:pt>
                <c:pt idx="7">
                  <c:v>5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201068"/>
        <c:axId val="19414471"/>
      </c:lineChart>
      <c:catAx>
        <c:axId val="57201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태그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14471"/>
        <c:crosses val="autoZero"/>
        <c:auto val="1"/>
        <c:lblAlgn val="ctr"/>
        <c:lblOffset val="100"/>
        <c:noMultiLvlLbl val="0"/>
      </c:catAx>
      <c:valAx>
        <c:axId val="19414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이전 릴리스 대비 경과일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010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31680</xdr:rowOff>
    </xdr:from>
    <xdr:to>
      <xdr:col>4</xdr:col>
      <xdr:colOff>654120</xdr:colOff>
      <xdr:row>34</xdr:row>
      <xdr:rowOff>64440</xdr:rowOff>
    </xdr:to>
    <xdr:graphicFrame>
      <xdr:nvGraphicFramePr>
        <xdr:cNvPr id="0" name="Chart 1"/>
        <xdr:cNvGraphicFramePr/>
      </xdr:nvGraphicFramePr>
      <xdr:xfrm>
        <a:off x="211320" y="527688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20</xdr:row>
      <xdr:rowOff>31680</xdr:rowOff>
    </xdr:from>
    <xdr:to>
      <xdr:col>7</xdr:col>
      <xdr:colOff>1829880</xdr:colOff>
      <xdr:row>34</xdr:row>
      <xdr:rowOff>64440</xdr:rowOff>
    </xdr:to>
    <xdr:graphicFrame>
      <xdr:nvGraphicFramePr>
        <xdr:cNvPr id="1" name="Chart 2"/>
        <xdr:cNvGraphicFramePr/>
      </xdr:nvGraphicFramePr>
      <xdr:xfrm>
        <a:off x="5991120" y="5276880"/>
        <a:ext cx="32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31680</xdr:rowOff>
    </xdr:from>
    <xdr:to>
      <xdr:col>7</xdr:col>
      <xdr:colOff>550080</xdr:colOff>
      <xdr:row>51</xdr:row>
      <xdr:rowOff>64440</xdr:rowOff>
    </xdr:to>
    <xdr:graphicFrame>
      <xdr:nvGraphicFramePr>
        <xdr:cNvPr id="2" name="Chart 3"/>
        <xdr:cNvGraphicFramePr/>
      </xdr:nvGraphicFramePr>
      <xdr:xfrm>
        <a:off x="211320" y="8515440"/>
        <a:ext cx="77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ModuleInventory" displayName="ModuleInventory" ref="A4:H175" headerRowCount="1" totalsRowCount="0" totalsRowShown="0">
  <autoFilter ref="A4:H175"/>
  <tableColumns count="8">
    <tableColumn id="1" name="크레이트"/>
    <tableColumn id="2" name="경로 (src/ 기준)"/>
    <tableColumn id="3" name="계층"/>
    <tableColumn id="4" name="대상 포맷"/>
    <tableColumn id="5" name="파일 성격"/>
    <tableColumn id="6" name="LOC"/>
    <tableColumn id="7" name="#[test] 수"/>
    <tableColumn id="8" name="LOC 비중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developer0hye/office2pdf" TargetMode="External"/><Relationship Id="rId3" Type="http://schemas.openxmlformats.org/officeDocument/2006/relationships/hyperlink" Target="https://crates.io/crates/office2pdf" TargetMode="External"/><Relationship Id="rId4" Type="http://schemas.openxmlformats.org/officeDocument/2006/relationships/hyperlink" Target="https://docs.rs/office2pdf" TargetMode="External"/><Relationship Id="rId5" Type="http://schemas.openxmlformats.org/officeDocument/2006/relationships/hyperlink" Target="https://github.com/developer0hye/office2pdf/releases" TargetMode="External"/><Relationship Id="rId6" Type="http://schemas.openxmlformats.org/officeDocument/2006/relationships/hyperlink" Target="https://github.com/developer0hye/office2pdf/actions/workflows/ci.yml" TargetMode="External"/><Relationship Id="rId7" Type="http://schemas.openxmlformats.org/officeDocument/2006/relationships/hyperlink" Target="https://github.com/typst/typst" TargetMode="External"/><Relationship Id="rId8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crates.io/crates/typst" TargetMode="External"/><Relationship Id="rId2" Type="http://schemas.openxmlformats.org/officeDocument/2006/relationships/hyperlink" Target="https://crates.io/crates/typst-pdf" TargetMode="External"/><Relationship Id="rId3" Type="http://schemas.openxmlformats.org/officeDocument/2006/relationships/hyperlink" Target="https://crates.io/crates/typst-kit" TargetMode="External"/><Relationship Id="rId4" Type="http://schemas.openxmlformats.org/officeDocument/2006/relationships/hyperlink" Target="https://crates.io/crates/comemo" TargetMode="External"/><Relationship Id="rId5" Type="http://schemas.openxmlformats.org/officeDocument/2006/relationships/hyperlink" Target="https://crates.io/crates/docx-rs" TargetMode="External"/><Relationship Id="rId6" Type="http://schemas.openxmlformats.org/officeDocument/2006/relationships/hyperlink" Target="https://crates.io/crates/umya-spreadsheet" TargetMode="External"/><Relationship Id="rId7" Type="http://schemas.openxmlformats.org/officeDocument/2006/relationships/hyperlink" Target="https://crates.io/crates/quick-xml" TargetMode="External"/><Relationship Id="rId8" Type="http://schemas.openxmlformats.org/officeDocument/2006/relationships/hyperlink" Target="https://crates.io/crates/zip" TargetMode="External"/><Relationship Id="rId9" Type="http://schemas.openxmlformats.org/officeDocument/2006/relationships/hyperlink" Target="https://crates.io/crates/image" TargetMode="External"/><Relationship Id="rId10" Type="http://schemas.openxmlformats.org/officeDocument/2006/relationships/hyperlink" Target="https://crates.io/crates/unicode-normalization" TargetMode="External"/><Relationship Id="rId11" Type="http://schemas.openxmlformats.org/officeDocument/2006/relationships/hyperlink" Target="https://crates.io/crates/serde" TargetMode="External"/><Relationship Id="rId12" Type="http://schemas.openxmlformats.org/officeDocument/2006/relationships/hyperlink" Target="https://crates.io/crates/thiserror" TargetMode="External"/><Relationship Id="rId13" Type="http://schemas.openxmlformats.org/officeDocument/2006/relationships/hyperlink" Target="https://crates.io/crates/tracing" TargetMode="External"/><Relationship Id="rId14" Type="http://schemas.openxmlformats.org/officeDocument/2006/relationships/hyperlink" Target="https://crates.io/crates/lopdf" TargetMode="External"/><Relationship Id="rId15" Type="http://schemas.openxmlformats.org/officeDocument/2006/relationships/hyperlink" Target="https://crates.io/crates/wasm-bindgen" TargetMode="External"/><Relationship Id="rId16" Type="http://schemas.openxmlformats.org/officeDocument/2006/relationships/hyperlink" Target="https://crates.io/crates/ts-rs" TargetMode="External"/><Relationship Id="rId17" Type="http://schemas.openxmlformats.org/officeDocument/2006/relationships/hyperlink" Target="https://crates.io/crates/getrandom" TargetMode="External"/><Relationship Id="rId18" Type="http://schemas.openxmlformats.org/officeDocument/2006/relationships/hyperlink" Target="https://crates.io/crates/web-time" TargetMode="External"/><Relationship Id="rId19" Type="http://schemas.openxmlformats.org/officeDocument/2006/relationships/hyperlink" Target="https://crates.io/crates/clap" TargetMode="External"/><Relationship Id="rId20" Type="http://schemas.openxmlformats.org/officeDocument/2006/relationships/hyperlink" Target="https://crates.io/crates/anyhow" TargetMode="External"/><Relationship Id="rId21" Type="http://schemas.openxmlformats.org/officeDocument/2006/relationships/hyperlink" Target="https://crates.io/crates/rayon" TargetMode="External"/><Relationship Id="rId22" Type="http://schemas.openxmlformats.org/officeDocument/2006/relationships/hyperlink" Target="https://crates.io/crates/tiny-http" TargetMode="External"/><Relationship Id="rId23" Type="http://schemas.openxmlformats.org/officeDocument/2006/relationships/hyperlink" Target="https://crates.io/crates/criterion" TargetMode="External"/><Relationship Id="rId24" Type="http://schemas.openxmlformats.org/officeDocument/2006/relationships/hyperlink" Target="https://crates.io/crates/pdf-extract" TargetMode="External"/><Relationship Id="rId25" Type="http://schemas.openxmlformats.org/officeDocument/2006/relationships/hyperlink" Target="https://crates.io/crates/paste" TargetMode="External"/><Relationship Id="rId26" Type="http://schemas.openxmlformats.org/officeDocument/2006/relationships/hyperlink" Target="https://crates.io/crates/wasm-bindgen-test" TargetMode="External"/><Relationship Id="rId27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44"/>
    <col collapsed="false" customWidth="true" hidden="false" outlineLevel="0" max="5" min="5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B6" s="6" t="s">
        <v>6</v>
      </c>
      <c r="C6" s="7" t="s">
        <v>7</v>
      </c>
      <c r="D6" s="8" t="s">
        <v>8</v>
      </c>
    </row>
    <row r="7" customFormat="false" ht="15" hidden="false" customHeight="false" outlineLevel="0" collapsed="false">
      <c r="B7" s="6" t="s">
        <v>9</v>
      </c>
      <c r="C7" s="9" t="s">
        <v>10</v>
      </c>
      <c r="D7" s="8" t="s">
        <v>11</v>
      </c>
    </row>
    <row r="8" customFormat="false" ht="15" hidden="false" customHeight="false" outlineLevel="0" collapsed="false">
      <c r="B8" s="6" t="s">
        <v>12</v>
      </c>
      <c r="C8" s="9" t="s">
        <v>13</v>
      </c>
      <c r="D8" s="10" t="s">
        <v>14</v>
      </c>
    </row>
    <row r="9" customFormat="false" ht="15" hidden="false" customHeight="false" outlineLevel="0" collapsed="false">
      <c r="B9" s="6" t="s">
        <v>15</v>
      </c>
      <c r="C9" s="9" t="s">
        <v>16</v>
      </c>
      <c r="D9" s="8" t="s">
        <v>17</v>
      </c>
    </row>
    <row r="10" customFormat="false" ht="15" hidden="false" customHeight="false" outlineLevel="0" collapsed="false">
      <c r="B10" s="6" t="s">
        <v>18</v>
      </c>
      <c r="C10" s="9" t="s">
        <v>19</v>
      </c>
      <c r="D10" s="8" t="s">
        <v>20</v>
      </c>
    </row>
    <row r="11" customFormat="false" ht="15" hidden="false" customHeight="false" outlineLevel="0" collapsed="false">
      <c r="B11" s="11" t="s">
        <v>21</v>
      </c>
      <c r="C11" s="9" t="s">
        <v>22</v>
      </c>
      <c r="D11" s="10" t="s">
        <v>23</v>
      </c>
    </row>
    <row r="12" customFormat="false" ht="15" hidden="false" customHeight="false" outlineLevel="0" collapsed="false">
      <c r="B12" s="6" t="s">
        <v>24</v>
      </c>
      <c r="C12" s="9" t="s">
        <v>25</v>
      </c>
      <c r="D12" s="10" t="s">
        <v>26</v>
      </c>
    </row>
    <row r="13" customFormat="false" ht="15" hidden="false" customHeight="false" outlineLevel="0" collapsed="false">
      <c r="B13" s="6" t="s">
        <v>27</v>
      </c>
      <c r="C13" s="9" t="s">
        <v>28</v>
      </c>
      <c r="D13" s="8" t="s">
        <v>29</v>
      </c>
    </row>
    <row r="14" customFormat="false" ht="15" hidden="false" customHeight="false" outlineLevel="0" collapsed="false">
      <c r="B14" s="6" t="s">
        <v>30</v>
      </c>
      <c r="C14" s="12" t="s">
        <v>31</v>
      </c>
      <c r="D14" s="8" t="s">
        <v>32</v>
      </c>
    </row>
    <row r="15" customFormat="false" ht="15" hidden="false" customHeight="false" outlineLevel="0" collapsed="false">
      <c r="B15" s="6" t="s">
        <v>33</v>
      </c>
      <c r="C15" s="9" t="s">
        <v>34</v>
      </c>
      <c r="D15" s="8" t="s">
        <v>35</v>
      </c>
    </row>
    <row r="16" customFormat="false" ht="15" hidden="false" customHeight="false" outlineLevel="0" collapsed="false">
      <c r="B16" s="6" t="s">
        <v>36</v>
      </c>
      <c r="C16" s="9" t="s">
        <v>37</v>
      </c>
      <c r="D16" s="10" t="s">
        <v>38</v>
      </c>
    </row>
    <row r="17" customFormat="false" ht="15" hidden="false" customHeight="false" outlineLevel="0" collapsed="false">
      <c r="B17" s="6" t="s">
        <v>39</v>
      </c>
      <c r="C17" s="9" t="s">
        <v>40</v>
      </c>
      <c r="D17" s="8" t="s">
        <v>41</v>
      </c>
    </row>
    <row r="18" customFormat="false" ht="15" hidden="false" customHeight="false" outlineLevel="0" collapsed="false">
      <c r="B18" s="11" t="s">
        <v>42</v>
      </c>
      <c r="C18" s="9" t="s">
        <v>43</v>
      </c>
      <c r="D18" s="8" t="s">
        <v>44</v>
      </c>
    </row>
    <row r="19" customFormat="false" ht="23.85" hidden="false" customHeight="false" outlineLevel="0" collapsed="false">
      <c r="B19" s="6" t="s">
        <v>45</v>
      </c>
      <c r="C19" s="9" t="s">
        <v>46</v>
      </c>
      <c r="D19" s="10" t="s">
        <v>47</v>
      </c>
    </row>
    <row r="20" customFormat="false" ht="15" hidden="false" customHeight="false" outlineLevel="0" collapsed="false">
      <c r="B20" s="6" t="s">
        <v>48</v>
      </c>
      <c r="C20" s="9" t="s">
        <v>49</v>
      </c>
      <c r="D20" s="8" t="s">
        <v>50</v>
      </c>
    </row>
    <row r="22" customFormat="false" ht="21.75" hidden="false" customHeight="true" outlineLevel="0" collapsed="false">
      <c r="A22" s="3" t="s">
        <v>51</v>
      </c>
      <c r="B22" s="3"/>
      <c r="C22" s="3"/>
      <c r="D22" s="3"/>
      <c r="E22" s="3"/>
    </row>
    <row r="23" customFormat="false" ht="15" hidden="false" customHeight="false" outlineLevel="0" collapsed="false">
      <c r="B23" s="13" t="s">
        <v>52</v>
      </c>
      <c r="C23" s="7" t="s">
        <v>53</v>
      </c>
    </row>
    <row r="24" customFormat="false" ht="15" hidden="false" customHeight="false" outlineLevel="0" collapsed="false">
      <c r="B24" s="13" t="s">
        <v>54</v>
      </c>
      <c r="C24" s="7" t="s">
        <v>55</v>
      </c>
    </row>
    <row r="25" customFormat="false" ht="15" hidden="false" customHeight="false" outlineLevel="0" collapsed="false">
      <c r="B25" s="13" t="s">
        <v>56</v>
      </c>
      <c r="C25" s="7" t="s">
        <v>57</v>
      </c>
    </row>
    <row r="26" customFormat="false" ht="15" hidden="false" customHeight="false" outlineLevel="0" collapsed="false">
      <c r="B26" s="13" t="s">
        <v>58</v>
      </c>
      <c r="C26" s="7" t="s">
        <v>59</v>
      </c>
    </row>
    <row r="27" customFormat="false" ht="15" hidden="false" customHeight="false" outlineLevel="0" collapsed="false">
      <c r="B27" s="13" t="s">
        <v>60</v>
      </c>
      <c r="C27" s="7" t="s">
        <v>61</v>
      </c>
    </row>
    <row r="29" customFormat="false" ht="21.75" hidden="false" customHeight="true" outlineLevel="0" collapsed="false">
      <c r="A29" s="3" t="s">
        <v>62</v>
      </c>
      <c r="B29" s="3"/>
      <c r="C29" s="3"/>
      <c r="D29" s="3"/>
      <c r="E29" s="3"/>
    </row>
    <row r="30" customFormat="false" ht="15" hidden="false" customHeight="true" outlineLevel="0" collapsed="false">
      <c r="B30" s="14" t="s">
        <v>63</v>
      </c>
      <c r="C30" s="15" t="s">
        <v>64</v>
      </c>
      <c r="D30" s="15"/>
    </row>
    <row r="31" customFormat="false" ht="15" hidden="false" customHeight="true" outlineLevel="0" collapsed="false">
      <c r="B31" s="14" t="s">
        <v>65</v>
      </c>
      <c r="C31" s="15" t="s">
        <v>66</v>
      </c>
      <c r="D31" s="15"/>
    </row>
    <row r="32" customFormat="false" ht="15" hidden="false" customHeight="true" outlineLevel="0" collapsed="false">
      <c r="B32" s="14" t="s">
        <v>67</v>
      </c>
      <c r="C32" s="16" t="s">
        <v>68</v>
      </c>
      <c r="D32" s="16"/>
    </row>
    <row r="33" customFormat="false" ht="15" hidden="false" customHeight="true" outlineLevel="0" collapsed="false">
      <c r="B33" s="14" t="s">
        <v>69</v>
      </c>
      <c r="C33" s="15" t="s">
        <v>70</v>
      </c>
      <c r="D33" s="15"/>
    </row>
    <row r="34" customFormat="false" ht="15" hidden="false" customHeight="true" outlineLevel="0" collapsed="false">
      <c r="B34" s="14" t="s">
        <v>71</v>
      </c>
      <c r="C34" s="15" t="s">
        <v>72</v>
      </c>
      <c r="D34" s="15"/>
    </row>
    <row r="35" customFormat="false" ht="15" hidden="false" customHeight="true" outlineLevel="0" collapsed="false">
      <c r="B35" s="14" t="s">
        <v>73</v>
      </c>
      <c r="C35" s="15" t="s">
        <v>74</v>
      </c>
      <c r="D35" s="15"/>
    </row>
    <row r="36" customFormat="false" ht="15" hidden="false" customHeight="true" outlineLevel="0" collapsed="false">
      <c r="B36" s="14" t="s">
        <v>75</v>
      </c>
      <c r="C36" s="16" t="s">
        <v>76</v>
      </c>
      <c r="D36" s="16"/>
    </row>
    <row r="37" customFormat="false" ht="15" hidden="false" customHeight="true" outlineLevel="0" collapsed="false">
      <c r="B37" s="14" t="s">
        <v>77</v>
      </c>
      <c r="C37" s="15" t="s">
        <v>78</v>
      </c>
      <c r="D37" s="15"/>
    </row>
    <row r="38" customFormat="false" ht="15" hidden="false" customHeight="true" outlineLevel="0" collapsed="false">
      <c r="B38" s="14" t="s">
        <v>79</v>
      </c>
      <c r="C38" s="15" t="s">
        <v>80</v>
      </c>
      <c r="D38" s="15"/>
    </row>
    <row r="40" customFormat="false" ht="25.35" hidden="false" customHeight="true" outlineLevel="0" collapsed="false">
      <c r="A40" s="17" t="s">
        <v>81</v>
      </c>
      <c r="B40" s="17"/>
      <c r="C40" s="17"/>
      <c r="D40" s="17"/>
      <c r="E40" s="17"/>
    </row>
  </sheetData>
  <mergeCells count="15">
    <mergeCell ref="A1:F1"/>
    <mergeCell ref="A2:F2"/>
    <mergeCell ref="A4:E4"/>
    <mergeCell ref="A22:E22"/>
    <mergeCell ref="A29:E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A40:E40"/>
  </mergeCells>
  <hyperlinks>
    <hyperlink ref="C6" r:id="rId2" display="developer0hye/office2pdf"/>
    <hyperlink ref="C23" r:id="rId3" display="https://crates.io/crates/office2pdf"/>
    <hyperlink ref="C24" r:id="rId4" display="https://docs.rs/office2pdf"/>
    <hyperlink ref="C25" r:id="rId5" display="https://github.com/developer0hye/office2pdf/releases"/>
    <hyperlink ref="C26" r:id="rId6" display="https://github.com/developer0hye/office2pdf/actions/workflows/ci.yml"/>
    <hyperlink ref="C27" r:id="rId7" display="https://github.com/typst/typ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</cols>
  <sheetData>
    <row r="1" customFormat="false" ht="30" hidden="false" customHeight="true" outlineLevel="0" collapsed="false">
      <c r="A1" s="1" t="s">
        <v>82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18" t="s">
        <v>83</v>
      </c>
      <c r="B2" s="18"/>
      <c r="C2" s="18"/>
      <c r="D2" s="18"/>
      <c r="E2" s="18"/>
      <c r="F2" s="18"/>
      <c r="G2" s="18"/>
      <c r="H2" s="18"/>
      <c r="I2" s="18"/>
      <c r="J2" s="18"/>
    </row>
    <row r="4" customFormat="false" ht="17.15" hidden="false" customHeight="false" outlineLevel="0" collapsed="false">
      <c r="B4" s="19" t="s">
        <v>84</v>
      </c>
    </row>
    <row r="5" customFormat="false" ht="25.5" hidden="false" customHeight="true" outlineLevel="0" collapsed="false">
      <c r="B5" s="20" t="s">
        <v>85</v>
      </c>
      <c r="C5" s="21" t="n">
        <f aca="false">COUNTA(05_모듈_인벤토리!$B$5:$B$175)</f>
        <v>171</v>
      </c>
      <c r="E5" s="20" t="s">
        <v>86</v>
      </c>
      <c r="F5" s="22" t="n">
        <f aca="false">07_검증_품질게이트!$D$21</f>
        <v>345</v>
      </c>
    </row>
    <row r="6" customFormat="false" ht="25.5" hidden="false" customHeight="true" outlineLevel="0" collapsed="false">
      <c r="B6" s="20" t="s">
        <v>87</v>
      </c>
      <c r="C6" s="22" t="n">
        <f aca="false">SUM(05_모듈_인벤토리!$F$5:$F$175)</f>
        <v>81715</v>
      </c>
      <c r="E6" s="23" t="s">
        <v>88</v>
      </c>
      <c r="F6" s="21" t="n">
        <f aca="false">COUNTA(07_검증_품질게이트!$B$7:$B$15)</f>
        <v>9</v>
      </c>
    </row>
    <row r="7" customFormat="false" ht="25.5" hidden="false" customHeight="true" outlineLevel="0" collapsed="false">
      <c r="B7" s="20" t="s">
        <v>89</v>
      </c>
      <c r="C7" s="22" t="n">
        <f aca="false">SUMIF(05_모듈_인벤토리!$E$5:$E$175,"프로덕션",05_모듈_인벤토리!$F$5:$F$175)</f>
        <v>35576</v>
      </c>
      <c r="E7" s="20" t="s">
        <v>90</v>
      </c>
      <c r="F7" s="21" t="n">
        <f aca="false">COUNTA(06_릴리스_이력!$B$5:$B$14)</f>
        <v>10</v>
      </c>
    </row>
    <row r="8" customFormat="false" ht="25.5" hidden="false" customHeight="true" outlineLevel="0" collapsed="false">
      <c r="B8" s="20" t="s">
        <v>91</v>
      </c>
      <c r="C8" s="22" t="n">
        <f aca="false">SUMIF(05_모듈_인벤토리!$E$5:$E$175,"테스트",05_모듈_인벤토리!$F$5:$F$175)</f>
        <v>46139</v>
      </c>
      <c r="E8" s="20" t="s">
        <v>92</v>
      </c>
      <c r="F8" s="22" t="n">
        <f aca="false">07_검증_품질게이트!$D$28</f>
        <v>129</v>
      </c>
    </row>
    <row r="9" customFormat="false" ht="25.5" hidden="false" customHeight="true" outlineLevel="0" collapsed="false">
      <c r="B9" s="20" t="s">
        <v>93</v>
      </c>
      <c r="C9" s="24" t="n">
        <f aca="false">IFERROR($C$8/$C$7,"")</f>
        <v>1.29691364965145</v>
      </c>
      <c r="E9" s="23" t="s">
        <v>94</v>
      </c>
      <c r="F9" s="24" t="n">
        <f aca="false">IFERROR(SUMIFS(05_모듈_인벤토리!$F$5:$F$175,05_모듈_인벤토리!$C$5:$C$175,"parser")/$C$6,"")</f>
        <v>0.552285382120786</v>
      </c>
    </row>
    <row r="10" customFormat="false" ht="25.5" hidden="false" customHeight="true" outlineLevel="0" collapsed="false">
      <c r="B10" s="23" t="s">
        <v>95</v>
      </c>
      <c r="C10" s="22" t="n">
        <f aca="false">SUM(05_모듈_인벤토리!$G$5:$G$175)</f>
        <v>1662</v>
      </c>
      <c r="E10" s="20" t="s">
        <v>96</v>
      </c>
      <c r="F10" s="22" t="n">
        <f aca="false">IFERROR(ROUND(AVERAGE(05_모듈_인벤토리!$F$5:$F$175),0),"")</f>
        <v>478</v>
      </c>
    </row>
    <row r="13" customFormat="false" ht="21.75" hidden="false" customHeight="true" outlineLevel="0" collapsed="false">
      <c r="A13" s="25" t="s">
        <v>97</v>
      </c>
      <c r="B13" s="25"/>
      <c r="C13" s="25"/>
      <c r="D13" s="25"/>
      <c r="E13" s="25"/>
      <c r="F13" s="25"/>
      <c r="G13" s="25"/>
      <c r="H13" s="25"/>
      <c r="I13" s="25"/>
      <c r="J13" s="25"/>
    </row>
    <row r="14" customFormat="false" ht="27.75" hidden="false" customHeight="true" outlineLevel="0" collapsed="false">
      <c r="A14" s="26"/>
      <c r="B14" s="27" t="s">
        <v>98</v>
      </c>
      <c r="C14" s="27" t="s">
        <v>99</v>
      </c>
      <c r="D14" s="26"/>
      <c r="E14" s="27" t="s">
        <v>100</v>
      </c>
      <c r="F14" s="27" t="s">
        <v>101</v>
      </c>
      <c r="G14" s="26"/>
      <c r="H14" s="27" t="s">
        <v>100</v>
      </c>
      <c r="I14" s="27" t="s">
        <v>102</v>
      </c>
    </row>
    <row r="15" customFormat="false" ht="15" hidden="false" customHeight="false" outlineLevel="0" collapsed="false">
      <c r="B15" s="28" t="s">
        <v>103</v>
      </c>
      <c r="C15" s="29" t="n">
        <f aca="false">SUMIFS(05_모듈_인벤토리!$F$5:$F$175,05_모듈_인벤토리!$C$5:$C$175,$B15,05_모듈_인벤토리!$E$5:$E$175,"프로덕션")</f>
        <v>23334</v>
      </c>
      <c r="E15" s="28" t="s">
        <v>104</v>
      </c>
      <c r="F15" s="29" t="n">
        <f aca="false">07_검증_품질게이트!$D$18</f>
        <v>115</v>
      </c>
      <c r="H15" s="28" t="s">
        <v>104</v>
      </c>
      <c r="I15" s="29" t="n">
        <f aca="false">COUNTIF(05_모듈_인벤토리!$D$5:$D$175,$H15)</f>
        <v>32</v>
      </c>
    </row>
    <row r="16" customFormat="false" ht="15" hidden="false" customHeight="false" outlineLevel="0" collapsed="false">
      <c r="B16" s="28" t="s">
        <v>105</v>
      </c>
      <c r="C16" s="29" t="n">
        <f aca="false">SUMIFS(05_모듈_인벤토리!$F$5:$F$175,05_모듈_인벤토리!$C$5:$C$175,$B16,05_모듈_인벤토리!$E$5:$E$175,"프로덕션")</f>
        <v>8331</v>
      </c>
      <c r="E16" s="28" t="s">
        <v>106</v>
      </c>
      <c r="F16" s="29" t="n">
        <f aca="false">07_검증_품질게이트!$D$19</f>
        <v>92</v>
      </c>
      <c r="H16" s="28" t="s">
        <v>106</v>
      </c>
      <c r="I16" s="29" t="n">
        <f aca="false">COUNTIF(05_모듈_인벤토리!$D$5:$D$175,$H16)</f>
        <v>29</v>
      </c>
    </row>
    <row r="17" customFormat="false" ht="15" hidden="false" customHeight="false" outlineLevel="0" collapsed="false">
      <c r="B17" s="28" t="s">
        <v>107</v>
      </c>
      <c r="C17" s="29" t="n">
        <f aca="false">SUMIFS(05_모듈_인벤토리!$F$5:$F$175,05_모듈_인벤토리!$C$5:$C$175,$B17,05_모듈_인벤토리!$E$5:$E$175,"프로덕션")</f>
        <v>2727</v>
      </c>
      <c r="E17" s="28" t="s">
        <v>108</v>
      </c>
      <c r="F17" s="29" t="n">
        <f aca="false">07_검증_품질게이트!$D$20</f>
        <v>138</v>
      </c>
      <c r="H17" s="28" t="s">
        <v>108</v>
      </c>
      <c r="I17" s="29" t="n">
        <f aca="false">COUNTIF(05_모듈_인벤토리!$D$5:$D$175,$H17)</f>
        <v>15</v>
      </c>
    </row>
    <row r="18" customFormat="false" ht="15" hidden="false" customHeight="false" outlineLevel="0" collapsed="false">
      <c r="B18" s="28" t="s">
        <v>109</v>
      </c>
      <c r="C18" s="29" t="n">
        <f aca="false">SUMIFS(05_모듈_인벤토리!$F$5:$F$175,05_모듈_인벤토리!$C$5:$C$175,$B18,05_모듈_인벤토리!$E$5:$E$175,"프로덕션")</f>
        <v>1184</v>
      </c>
      <c r="H18" s="28" t="s">
        <v>110</v>
      </c>
      <c r="I18" s="29" t="n">
        <f aca="false">COUNTIF(05_모듈_인벤토리!$D$5:$D$175,$H18)</f>
        <v>95</v>
      </c>
    </row>
    <row r="19" customFormat="false" ht="15" hidden="false" customHeight="false" outlineLevel="0" collapsed="false">
      <c r="B19" s="28" t="s">
        <v>111</v>
      </c>
      <c r="C19" s="29" t="n">
        <f aca="false">SUMIFS(05_모듈_인벤토리!$F$5:$F$175,05_모듈_인벤토리!$C$5:$C$175,$B19,05_모듈_인벤토리!$E$5:$E$175,"프로덕션")</f>
        <v>0</v>
      </c>
    </row>
    <row r="20" customFormat="false" ht="25.35" hidden="false" customHeight="true" outlineLevel="0" collapsed="false">
      <c r="A20" s="17" t="s">
        <v>112</v>
      </c>
      <c r="B20" s="17"/>
      <c r="C20" s="17"/>
      <c r="D20" s="17"/>
      <c r="E20" s="17"/>
      <c r="F20" s="17"/>
      <c r="G20" s="17"/>
      <c r="H20" s="17"/>
      <c r="I20" s="17"/>
      <c r="J20" s="17"/>
    </row>
  </sheetData>
  <mergeCells count="4">
    <mergeCell ref="A1:J1"/>
    <mergeCell ref="A2:J2"/>
    <mergeCell ref="A13:J13"/>
    <mergeCell ref="A20:J20"/>
  </mergeCells>
  <conditionalFormatting sqref="C15:C19">
    <cfRule type="dataBar" priority="2">
      <dataBar showValue="1" minLength="10" maxLength="90">
        <cfvo type="num" val="0"/>
        <cfvo type="max" val="0"/>
        <color rgb="FF638EC6"/>
      </dataBar>
      <extLst>
        <ext xmlns:x14="http://schemas.microsoft.com/office/spreadsheetml/2009/9/main" uri="{B025F937-C7B1-47D3-B67F-A62EFF666E3E}">
          <x14:id>{68356D4C-FA80-44BD-AA4D-25A9AF2C4620}</x14:id>
        </ext>
      </extLst>
    </cfRule>
  </conditionalFormatting>
  <conditionalFormatting sqref="I15:I18">
    <cfRule type="dataBar" priority="3">
      <dataBar showValue="1" minLength="10" maxLength="90">
        <cfvo type="num" val="0"/>
        <cfvo type="max" val="0"/>
        <color rgb="FFA9D08E"/>
      </dataBar>
      <extLst>
        <ext xmlns:x14="http://schemas.microsoft.com/office/spreadsheetml/2009/9/main" uri="{B025F937-C7B1-47D3-B67F-A62EFF666E3E}">
          <x14:id>{7EC81EE0-EDF3-4066-AFEB-59E78A9D742D}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356D4C-FA80-44BD-AA4D-25A9AF2C4620}">
            <x14:dataBar minLength="10" maxLength="90" axisPosition="none" gradient="true">
              <x14:cfvo type="num">
                <xm:f>0</xm:f>
              </x14:cfvo>
              <x14:cfvo type="max"/>
              <x14:negativeFillColor rgb="FF638EC6"/>
              <x14:axisColor rgb="FF000000"/>
            </x14:dataBar>
          </x14:cfRule>
          <xm:sqref>C15:C19</xm:sqref>
        </x14:conditionalFormatting>
        <x14:conditionalFormatting xmlns:xm="http://schemas.microsoft.com/office/excel/2006/main">
          <x14:cfRule type="dataBar" id="{7EC81EE0-EDF3-4066-AFEB-59E78A9D742D}">
            <x14:dataBar minLength="10" maxLength="90" axisPosition="none" gradient="true">
              <x14:cfvo type="num">
                <xm:f>0</xm:f>
              </x14:cfvo>
              <x14:cfvo type="max"/>
              <x14:negativeFillColor rgb="FFA9D08E"/>
              <x14:axisColor rgb="FF000000"/>
            </x14:dataBar>
          </x14:cfRule>
          <xm:sqref>I15:I18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true"/>
  </sheetPr>
  <dimension ref="A1:H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52"/>
  </cols>
  <sheetData>
    <row r="1" customFormat="false" ht="30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8" t="s">
        <v>114</v>
      </c>
      <c r="B2" s="18"/>
      <c r="C2" s="18"/>
      <c r="D2" s="18"/>
      <c r="E2" s="18"/>
      <c r="F2" s="18"/>
      <c r="G2" s="18"/>
      <c r="H2" s="18"/>
    </row>
    <row r="4" customFormat="false" ht="33.75" hidden="false" customHeight="true" outlineLevel="0" collapsed="false">
      <c r="A4" s="26" t="s">
        <v>115</v>
      </c>
      <c r="B4" s="27" t="s">
        <v>100</v>
      </c>
      <c r="C4" s="27" t="s">
        <v>116</v>
      </c>
      <c r="D4" s="26" t="s">
        <v>117</v>
      </c>
      <c r="E4" s="27" t="s">
        <v>118</v>
      </c>
      <c r="F4" s="26" t="s">
        <v>119</v>
      </c>
      <c r="G4" s="27" t="s">
        <v>120</v>
      </c>
      <c r="H4" s="27" t="s">
        <v>121</v>
      </c>
    </row>
    <row r="5" customFormat="false" ht="15" hidden="false" customHeight="false" outlineLevel="0" collapsed="false">
      <c r="A5" s="30" t="s">
        <v>122</v>
      </c>
      <c r="B5" s="30" t="s">
        <v>104</v>
      </c>
      <c r="C5" s="31" t="s">
        <v>123</v>
      </c>
      <c r="D5" s="32" t="s">
        <v>124</v>
      </c>
      <c r="E5" s="33" t="s">
        <v>125</v>
      </c>
      <c r="F5" s="30" t="s">
        <v>126</v>
      </c>
      <c r="G5" s="34" t="n">
        <f aca="false">IF($E5="구현 완료",1,IF($E5="부분 구현",0.5,0))</f>
        <v>1</v>
      </c>
      <c r="H5" s="32" t="s">
        <v>127</v>
      </c>
    </row>
    <row r="6" customFormat="false" ht="15" hidden="false" customHeight="false" outlineLevel="0" collapsed="false">
      <c r="A6" s="30" t="s">
        <v>128</v>
      </c>
      <c r="B6" s="30" t="s">
        <v>104</v>
      </c>
      <c r="C6" s="31" t="s">
        <v>129</v>
      </c>
      <c r="D6" s="32" t="s">
        <v>130</v>
      </c>
      <c r="E6" s="33" t="s">
        <v>125</v>
      </c>
      <c r="F6" s="30" t="s">
        <v>126</v>
      </c>
      <c r="G6" s="34" t="n">
        <f aca="false">IF($E6="구현 완료",1,IF($E6="부분 구현",0.5,0))</f>
        <v>1</v>
      </c>
      <c r="H6" s="32" t="s">
        <v>127</v>
      </c>
    </row>
    <row r="7" customFormat="false" ht="15" hidden="false" customHeight="false" outlineLevel="0" collapsed="false">
      <c r="A7" s="30" t="s">
        <v>131</v>
      </c>
      <c r="B7" s="30" t="s">
        <v>104</v>
      </c>
      <c r="C7" s="31" t="s">
        <v>132</v>
      </c>
      <c r="D7" s="32" t="s">
        <v>133</v>
      </c>
      <c r="E7" s="33" t="s">
        <v>125</v>
      </c>
      <c r="F7" s="30" t="s">
        <v>126</v>
      </c>
      <c r="G7" s="34" t="n">
        <f aca="false">IF($E7="구현 완료",1,IF($E7="부분 구현",0.5,0))</f>
        <v>1</v>
      </c>
      <c r="H7" s="32" t="s">
        <v>134</v>
      </c>
    </row>
    <row r="8" customFormat="false" ht="15" hidden="false" customHeight="false" outlineLevel="0" collapsed="false">
      <c r="A8" s="30" t="s">
        <v>135</v>
      </c>
      <c r="B8" s="30" t="s">
        <v>104</v>
      </c>
      <c r="C8" s="31" t="s">
        <v>136</v>
      </c>
      <c r="D8" s="32" t="s">
        <v>137</v>
      </c>
      <c r="E8" s="33" t="s">
        <v>125</v>
      </c>
      <c r="F8" s="30" t="s">
        <v>138</v>
      </c>
      <c r="G8" s="34" t="n">
        <f aca="false">IF($E8="구현 완료",1,IF($E8="부분 구현",0.5,0))</f>
        <v>1</v>
      </c>
      <c r="H8" s="32" t="s">
        <v>139</v>
      </c>
    </row>
    <row r="9" customFormat="false" ht="15" hidden="false" customHeight="false" outlineLevel="0" collapsed="false">
      <c r="A9" s="30" t="s">
        <v>140</v>
      </c>
      <c r="B9" s="30" t="s">
        <v>104</v>
      </c>
      <c r="C9" s="31" t="s">
        <v>141</v>
      </c>
      <c r="D9" s="32" t="s">
        <v>142</v>
      </c>
      <c r="E9" s="33" t="s">
        <v>125</v>
      </c>
      <c r="F9" s="30" t="s">
        <v>126</v>
      </c>
      <c r="G9" s="34" t="n">
        <f aca="false">IF($E9="구현 완료",1,IF($E9="부분 구현",0.5,0))</f>
        <v>1</v>
      </c>
      <c r="H9" s="32" t="s">
        <v>143</v>
      </c>
    </row>
    <row r="10" customFormat="false" ht="15" hidden="false" customHeight="false" outlineLevel="0" collapsed="false">
      <c r="A10" s="30" t="s">
        <v>144</v>
      </c>
      <c r="B10" s="30" t="s">
        <v>104</v>
      </c>
      <c r="C10" s="31" t="s">
        <v>145</v>
      </c>
      <c r="D10" s="32" t="s">
        <v>146</v>
      </c>
      <c r="E10" s="33" t="s">
        <v>125</v>
      </c>
      <c r="F10" s="30" t="s">
        <v>138</v>
      </c>
      <c r="G10" s="34" t="n">
        <f aca="false">IF($E10="구현 완료",1,IF($E10="부분 구현",0.5,0))</f>
        <v>1</v>
      </c>
      <c r="H10" s="32" t="s">
        <v>147</v>
      </c>
    </row>
    <row r="11" customFormat="false" ht="15" hidden="false" customHeight="false" outlineLevel="0" collapsed="false">
      <c r="A11" s="30" t="s">
        <v>148</v>
      </c>
      <c r="B11" s="30" t="s">
        <v>104</v>
      </c>
      <c r="C11" s="31" t="s">
        <v>149</v>
      </c>
      <c r="D11" s="32" t="s">
        <v>150</v>
      </c>
      <c r="E11" s="33" t="s">
        <v>125</v>
      </c>
      <c r="F11" s="30" t="s">
        <v>138</v>
      </c>
      <c r="G11" s="34" t="n">
        <f aca="false">IF($E11="구현 완료",1,IF($E11="부분 구현",0.5,0))</f>
        <v>1</v>
      </c>
      <c r="H11" s="32" t="s">
        <v>151</v>
      </c>
    </row>
    <row r="12" customFormat="false" ht="15" hidden="false" customHeight="false" outlineLevel="0" collapsed="false">
      <c r="A12" s="30" t="s">
        <v>152</v>
      </c>
      <c r="B12" s="30" t="s">
        <v>104</v>
      </c>
      <c r="C12" s="31" t="s">
        <v>153</v>
      </c>
      <c r="D12" s="32" t="s">
        <v>154</v>
      </c>
      <c r="E12" s="33" t="s">
        <v>125</v>
      </c>
      <c r="F12" s="30" t="s">
        <v>126</v>
      </c>
      <c r="G12" s="34" t="n">
        <f aca="false">IF($E12="구현 완료",1,IF($E12="부분 구현",0.5,0))</f>
        <v>1</v>
      </c>
      <c r="H12" s="32" t="s">
        <v>155</v>
      </c>
    </row>
    <row r="13" customFormat="false" ht="15" hidden="false" customHeight="false" outlineLevel="0" collapsed="false">
      <c r="A13" s="30" t="s">
        <v>156</v>
      </c>
      <c r="B13" s="30" t="s">
        <v>104</v>
      </c>
      <c r="C13" s="31" t="s">
        <v>157</v>
      </c>
      <c r="D13" s="32" t="s">
        <v>158</v>
      </c>
      <c r="E13" s="33" t="s">
        <v>125</v>
      </c>
      <c r="F13" s="30" t="s">
        <v>159</v>
      </c>
      <c r="G13" s="34" t="n">
        <f aca="false">IF($E13="구현 완료",1,IF($E13="부분 구현",0.5,0))</f>
        <v>1</v>
      </c>
      <c r="H13" s="32" t="s">
        <v>160</v>
      </c>
    </row>
    <row r="14" customFormat="false" ht="15" hidden="false" customHeight="false" outlineLevel="0" collapsed="false">
      <c r="A14" s="30" t="s">
        <v>161</v>
      </c>
      <c r="B14" s="30" t="s">
        <v>104</v>
      </c>
      <c r="C14" s="31" t="s">
        <v>162</v>
      </c>
      <c r="D14" s="32" t="s">
        <v>163</v>
      </c>
      <c r="E14" s="33" t="s">
        <v>125</v>
      </c>
      <c r="F14" s="30" t="s">
        <v>159</v>
      </c>
      <c r="G14" s="34" t="n">
        <f aca="false">IF($E14="구현 완료",1,IF($E14="부분 구현",0.5,0))</f>
        <v>1</v>
      </c>
      <c r="H14" s="32" t="s">
        <v>164</v>
      </c>
    </row>
    <row r="15" customFormat="false" ht="15" hidden="false" customHeight="false" outlineLevel="0" collapsed="false">
      <c r="A15" s="30" t="s">
        <v>165</v>
      </c>
      <c r="B15" s="30" t="s">
        <v>104</v>
      </c>
      <c r="C15" s="31" t="s">
        <v>166</v>
      </c>
      <c r="D15" s="32" t="s">
        <v>167</v>
      </c>
      <c r="E15" s="33" t="s">
        <v>125</v>
      </c>
      <c r="F15" s="30" t="s">
        <v>138</v>
      </c>
      <c r="G15" s="34" t="n">
        <f aca="false">IF($E15="구현 완료",1,IF($E15="부분 구현",0.5,0))</f>
        <v>1</v>
      </c>
      <c r="H15" s="32" t="s">
        <v>168</v>
      </c>
    </row>
    <row r="16" customFormat="false" ht="15" hidden="false" customHeight="false" outlineLevel="0" collapsed="false">
      <c r="A16" s="30" t="s">
        <v>169</v>
      </c>
      <c r="B16" s="30" t="s">
        <v>104</v>
      </c>
      <c r="C16" s="31" t="s">
        <v>170</v>
      </c>
      <c r="D16" s="32" t="s">
        <v>171</v>
      </c>
      <c r="E16" s="33" t="s">
        <v>125</v>
      </c>
      <c r="F16" s="30" t="s">
        <v>138</v>
      </c>
      <c r="G16" s="34" t="n">
        <f aca="false">IF($E16="구현 완료",1,IF($E16="부분 구현",0.5,0))</f>
        <v>1</v>
      </c>
      <c r="H16" s="32" t="s">
        <v>172</v>
      </c>
    </row>
    <row r="17" customFormat="false" ht="15" hidden="false" customHeight="false" outlineLevel="0" collapsed="false">
      <c r="A17" s="30" t="s">
        <v>173</v>
      </c>
      <c r="B17" s="30" t="s">
        <v>104</v>
      </c>
      <c r="C17" s="31" t="s">
        <v>174</v>
      </c>
      <c r="D17" s="32" t="s">
        <v>175</v>
      </c>
      <c r="E17" s="33" t="s">
        <v>125</v>
      </c>
      <c r="F17" s="30" t="s">
        <v>176</v>
      </c>
      <c r="G17" s="34" t="n">
        <f aca="false">IF($E17="구현 완료",1,IF($E17="부분 구현",0.5,0))</f>
        <v>1</v>
      </c>
      <c r="H17" s="32" t="s">
        <v>177</v>
      </c>
    </row>
    <row r="18" customFormat="false" ht="15" hidden="false" customHeight="false" outlineLevel="0" collapsed="false">
      <c r="A18" s="30" t="s">
        <v>178</v>
      </c>
      <c r="B18" s="30" t="s">
        <v>104</v>
      </c>
      <c r="C18" s="31" t="s">
        <v>179</v>
      </c>
      <c r="D18" s="32" t="s">
        <v>180</v>
      </c>
      <c r="E18" s="33" t="s">
        <v>125</v>
      </c>
      <c r="F18" s="30" t="s">
        <v>176</v>
      </c>
      <c r="G18" s="34" t="n">
        <f aca="false">IF($E18="구현 완료",1,IF($E18="부분 구현",0.5,0))</f>
        <v>1</v>
      </c>
      <c r="H18" s="32" t="s">
        <v>181</v>
      </c>
    </row>
    <row r="19" customFormat="false" ht="15" hidden="false" customHeight="false" outlineLevel="0" collapsed="false">
      <c r="A19" s="30" t="s">
        <v>182</v>
      </c>
      <c r="B19" s="30" t="s">
        <v>104</v>
      </c>
      <c r="C19" s="31" t="s">
        <v>183</v>
      </c>
      <c r="D19" s="32" t="s">
        <v>184</v>
      </c>
      <c r="E19" s="33" t="s">
        <v>125</v>
      </c>
      <c r="F19" s="30" t="s">
        <v>176</v>
      </c>
      <c r="G19" s="34" t="n">
        <f aca="false">IF($E19="구현 완료",1,IF($E19="부분 구현",0.5,0))</f>
        <v>1</v>
      </c>
      <c r="H19" s="32" t="s">
        <v>185</v>
      </c>
    </row>
    <row r="20" customFormat="false" ht="15" hidden="false" customHeight="false" outlineLevel="0" collapsed="false">
      <c r="A20" s="30" t="s">
        <v>186</v>
      </c>
      <c r="B20" s="30" t="s">
        <v>104</v>
      </c>
      <c r="C20" s="31" t="s">
        <v>187</v>
      </c>
      <c r="D20" s="32" t="s">
        <v>188</v>
      </c>
      <c r="E20" s="33" t="s">
        <v>125</v>
      </c>
      <c r="F20" s="30" t="s">
        <v>159</v>
      </c>
      <c r="G20" s="34" t="n">
        <f aca="false">IF($E20="구현 완료",1,IF($E20="부분 구현",0.5,0))</f>
        <v>1</v>
      </c>
      <c r="H20" s="32" t="s">
        <v>189</v>
      </c>
    </row>
    <row r="21" customFormat="false" ht="23.85" hidden="false" customHeight="false" outlineLevel="0" collapsed="false">
      <c r="A21" s="30" t="s">
        <v>190</v>
      </c>
      <c r="B21" s="30" t="s">
        <v>104</v>
      </c>
      <c r="C21" s="31" t="s">
        <v>191</v>
      </c>
      <c r="D21" s="32" t="s">
        <v>192</v>
      </c>
      <c r="E21" s="33" t="s">
        <v>125</v>
      </c>
      <c r="F21" s="33" t="s">
        <v>193</v>
      </c>
      <c r="G21" s="34" t="n">
        <f aca="false">IF($E21="구현 완료",1,IF($E21="부분 구현",0.5,0))</f>
        <v>1</v>
      </c>
      <c r="H21" s="32" t="s">
        <v>194</v>
      </c>
    </row>
    <row r="22" customFormat="false" ht="15" hidden="false" customHeight="false" outlineLevel="0" collapsed="false">
      <c r="A22" s="30" t="s">
        <v>195</v>
      </c>
      <c r="B22" s="30" t="s">
        <v>104</v>
      </c>
      <c r="C22" s="31" t="s">
        <v>196</v>
      </c>
      <c r="D22" s="32" t="s">
        <v>197</v>
      </c>
      <c r="E22" s="33" t="s">
        <v>125</v>
      </c>
      <c r="F22" s="30" t="s">
        <v>159</v>
      </c>
      <c r="G22" s="34" t="n">
        <f aca="false">IF($E22="구현 완료",1,IF($E22="부분 구현",0.5,0))</f>
        <v>1</v>
      </c>
      <c r="H22" s="32" t="s">
        <v>198</v>
      </c>
    </row>
    <row r="23" customFormat="false" ht="15" hidden="false" customHeight="false" outlineLevel="0" collapsed="false">
      <c r="A23" s="30" t="s">
        <v>199</v>
      </c>
      <c r="B23" s="30" t="s">
        <v>104</v>
      </c>
      <c r="C23" s="31" t="s">
        <v>200</v>
      </c>
      <c r="D23" s="32" t="s">
        <v>201</v>
      </c>
      <c r="E23" s="33" t="s">
        <v>125</v>
      </c>
      <c r="F23" s="30" t="s">
        <v>159</v>
      </c>
      <c r="G23" s="34" t="n">
        <f aca="false">IF($E23="구현 완료",1,IF($E23="부분 구현",0.5,0))</f>
        <v>1</v>
      </c>
      <c r="H23" s="32" t="s">
        <v>202</v>
      </c>
    </row>
    <row r="24" customFormat="false" ht="15" hidden="false" customHeight="false" outlineLevel="0" collapsed="false">
      <c r="A24" s="30" t="s">
        <v>203</v>
      </c>
      <c r="B24" s="30" t="s">
        <v>104</v>
      </c>
      <c r="C24" s="31" t="s">
        <v>204</v>
      </c>
      <c r="D24" s="32" t="s">
        <v>205</v>
      </c>
      <c r="E24" s="33" t="s">
        <v>206</v>
      </c>
      <c r="F24" s="30" t="s">
        <v>159</v>
      </c>
      <c r="G24" s="34" t="n">
        <f aca="false">IF($E24="구현 완료",1,IF($E24="부분 구현",0.5,0))</f>
        <v>0.5</v>
      </c>
      <c r="H24" s="32" t="s">
        <v>207</v>
      </c>
    </row>
    <row r="25" customFormat="false" ht="15" hidden="false" customHeight="false" outlineLevel="0" collapsed="false">
      <c r="A25" s="30" t="s">
        <v>208</v>
      </c>
      <c r="B25" s="30" t="s">
        <v>104</v>
      </c>
      <c r="C25" s="31" t="s">
        <v>209</v>
      </c>
      <c r="D25" s="32" t="s">
        <v>210</v>
      </c>
      <c r="E25" s="33" t="s">
        <v>211</v>
      </c>
      <c r="F25" s="33" t="s">
        <v>193</v>
      </c>
      <c r="G25" s="34" t="n">
        <f aca="false">IF($E25="구현 완료",1,IF($E25="부분 구현",0.5,0))</f>
        <v>0</v>
      </c>
      <c r="H25" s="31" t="s">
        <v>212</v>
      </c>
    </row>
    <row r="26" customFormat="false" ht="15" hidden="false" customHeight="false" outlineLevel="0" collapsed="false">
      <c r="A26" s="30" t="s">
        <v>213</v>
      </c>
      <c r="B26" s="30" t="s">
        <v>106</v>
      </c>
      <c r="C26" s="31" t="s">
        <v>214</v>
      </c>
      <c r="D26" s="32" t="s">
        <v>215</v>
      </c>
      <c r="E26" s="33" t="s">
        <v>125</v>
      </c>
      <c r="F26" s="30" t="s">
        <v>126</v>
      </c>
      <c r="G26" s="34" t="n">
        <f aca="false">IF($E26="구현 완료",1,IF($E26="부분 구현",0.5,0))</f>
        <v>1</v>
      </c>
      <c r="H26" s="32" t="s">
        <v>216</v>
      </c>
    </row>
    <row r="27" customFormat="false" ht="15" hidden="false" customHeight="false" outlineLevel="0" collapsed="false">
      <c r="A27" s="30" t="s">
        <v>217</v>
      </c>
      <c r="B27" s="30" t="s">
        <v>106</v>
      </c>
      <c r="C27" s="31" t="s">
        <v>218</v>
      </c>
      <c r="D27" s="32" t="s">
        <v>219</v>
      </c>
      <c r="E27" s="33" t="s">
        <v>125</v>
      </c>
      <c r="F27" s="30" t="s">
        <v>126</v>
      </c>
      <c r="G27" s="34" t="n">
        <f aca="false">IF($E27="구현 완료",1,IF($E27="부분 구현",0.5,0))</f>
        <v>1</v>
      </c>
      <c r="H27" s="32" t="s">
        <v>220</v>
      </c>
    </row>
    <row r="28" customFormat="false" ht="15" hidden="false" customHeight="false" outlineLevel="0" collapsed="false">
      <c r="A28" s="30" t="s">
        <v>221</v>
      </c>
      <c r="B28" s="30" t="s">
        <v>106</v>
      </c>
      <c r="C28" s="31" t="s">
        <v>222</v>
      </c>
      <c r="D28" s="32" t="s">
        <v>223</v>
      </c>
      <c r="E28" s="33" t="s">
        <v>125</v>
      </c>
      <c r="F28" s="30" t="s">
        <v>126</v>
      </c>
      <c r="G28" s="34" t="n">
        <f aca="false">IF($E28="구현 완료",1,IF($E28="부분 구현",0.5,0))</f>
        <v>1</v>
      </c>
      <c r="H28" s="32" t="s">
        <v>224</v>
      </c>
    </row>
    <row r="29" customFormat="false" ht="15" hidden="false" customHeight="false" outlineLevel="0" collapsed="false">
      <c r="A29" s="30" t="s">
        <v>225</v>
      </c>
      <c r="B29" s="30" t="s">
        <v>106</v>
      </c>
      <c r="C29" s="31" t="s">
        <v>226</v>
      </c>
      <c r="D29" s="32" t="s">
        <v>227</v>
      </c>
      <c r="E29" s="33" t="s">
        <v>125</v>
      </c>
      <c r="F29" s="30" t="s">
        <v>176</v>
      </c>
      <c r="G29" s="34" t="n">
        <f aca="false">IF($E29="구현 완료",1,IF($E29="부분 구현",0.5,0))</f>
        <v>1</v>
      </c>
      <c r="H29" s="32" t="s">
        <v>228</v>
      </c>
    </row>
    <row r="30" customFormat="false" ht="15" hidden="false" customHeight="false" outlineLevel="0" collapsed="false">
      <c r="A30" s="30" t="s">
        <v>229</v>
      </c>
      <c r="B30" s="30" t="s">
        <v>106</v>
      </c>
      <c r="C30" s="31" t="s">
        <v>230</v>
      </c>
      <c r="D30" s="32" t="s">
        <v>231</v>
      </c>
      <c r="E30" s="33" t="s">
        <v>125</v>
      </c>
      <c r="F30" s="30" t="s">
        <v>126</v>
      </c>
      <c r="G30" s="34" t="n">
        <f aca="false">IF($E30="구현 완료",1,IF($E30="부분 구현",0.5,0))</f>
        <v>1</v>
      </c>
      <c r="H30" s="32" t="s">
        <v>232</v>
      </c>
    </row>
    <row r="31" customFormat="false" ht="15" hidden="false" customHeight="false" outlineLevel="0" collapsed="false">
      <c r="A31" s="30" t="s">
        <v>233</v>
      </c>
      <c r="B31" s="30" t="s">
        <v>106</v>
      </c>
      <c r="C31" s="31" t="s">
        <v>234</v>
      </c>
      <c r="D31" s="32" t="s">
        <v>235</v>
      </c>
      <c r="E31" s="33" t="s">
        <v>125</v>
      </c>
      <c r="F31" s="30" t="s">
        <v>138</v>
      </c>
      <c r="G31" s="34" t="n">
        <f aca="false">IF($E31="구현 완료",1,IF($E31="부분 구현",0.5,0))</f>
        <v>1</v>
      </c>
      <c r="H31" s="32" t="s">
        <v>236</v>
      </c>
    </row>
    <row r="32" customFormat="false" ht="15" hidden="false" customHeight="false" outlineLevel="0" collapsed="false">
      <c r="A32" s="30" t="s">
        <v>237</v>
      </c>
      <c r="B32" s="30" t="s">
        <v>106</v>
      </c>
      <c r="C32" s="31" t="s">
        <v>238</v>
      </c>
      <c r="D32" s="32" t="s">
        <v>239</v>
      </c>
      <c r="E32" s="33" t="s">
        <v>125</v>
      </c>
      <c r="F32" s="30" t="s">
        <v>138</v>
      </c>
      <c r="G32" s="34" t="n">
        <f aca="false">IF($E32="구현 완료",1,IF($E32="부분 구현",0.5,0))</f>
        <v>1</v>
      </c>
      <c r="H32" s="32" t="s">
        <v>240</v>
      </c>
    </row>
    <row r="33" customFormat="false" ht="15" hidden="false" customHeight="false" outlineLevel="0" collapsed="false">
      <c r="A33" s="30" t="s">
        <v>241</v>
      </c>
      <c r="B33" s="30" t="s">
        <v>106</v>
      </c>
      <c r="C33" s="31" t="s">
        <v>242</v>
      </c>
      <c r="D33" s="32" t="s">
        <v>243</v>
      </c>
      <c r="E33" s="33" t="s">
        <v>125</v>
      </c>
      <c r="F33" s="30" t="s">
        <v>138</v>
      </c>
      <c r="G33" s="34" t="n">
        <f aca="false">IF($E33="구현 완료",1,IF($E33="부분 구현",0.5,0))</f>
        <v>1</v>
      </c>
      <c r="H33" s="32" t="s">
        <v>244</v>
      </c>
    </row>
    <row r="34" customFormat="false" ht="15" hidden="false" customHeight="false" outlineLevel="0" collapsed="false">
      <c r="A34" s="30" t="s">
        <v>245</v>
      </c>
      <c r="B34" s="30" t="s">
        <v>106</v>
      </c>
      <c r="C34" s="31" t="s">
        <v>246</v>
      </c>
      <c r="D34" s="32" t="s">
        <v>247</v>
      </c>
      <c r="E34" s="33" t="s">
        <v>125</v>
      </c>
      <c r="F34" s="30" t="s">
        <v>138</v>
      </c>
      <c r="G34" s="34" t="n">
        <f aca="false">IF($E34="구현 완료",1,IF($E34="부분 구현",0.5,0))</f>
        <v>1</v>
      </c>
      <c r="H34" s="32" t="s">
        <v>248</v>
      </c>
    </row>
    <row r="35" customFormat="false" ht="15" hidden="false" customHeight="false" outlineLevel="0" collapsed="false">
      <c r="A35" s="30" t="s">
        <v>249</v>
      </c>
      <c r="B35" s="30" t="s">
        <v>106</v>
      </c>
      <c r="C35" s="31" t="s">
        <v>250</v>
      </c>
      <c r="D35" s="32" t="s">
        <v>251</v>
      </c>
      <c r="E35" s="33" t="s">
        <v>125</v>
      </c>
      <c r="F35" s="30" t="s">
        <v>138</v>
      </c>
      <c r="G35" s="34" t="n">
        <f aca="false">IF($E35="구현 완료",1,IF($E35="부분 구현",0.5,0))</f>
        <v>1</v>
      </c>
      <c r="H35" s="32" t="s">
        <v>252</v>
      </c>
    </row>
    <row r="36" customFormat="false" ht="15" hidden="false" customHeight="false" outlineLevel="0" collapsed="false">
      <c r="A36" s="30" t="s">
        <v>253</v>
      </c>
      <c r="B36" s="30" t="s">
        <v>106</v>
      </c>
      <c r="C36" s="31" t="s">
        <v>254</v>
      </c>
      <c r="D36" s="32" t="s">
        <v>255</v>
      </c>
      <c r="E36" s="33" t="s">
        <v>125</v>
      </c>
      <c r="F36" s="30" t="s">
        <v>176</v>
      </c>
      <c r="G36" s="34" t="n">
        <f aca="false">IF($E36="구현 완료",1,IF($E36="부분 구현",0.5,0))</f>
        <v>1</v>
      </c>
      <c r="H36" s="32" t="s">
        <v>228</v>
      </c>
    </row>
    <row r="37" customFormat="false" ht="15" hidden="false" customHeight="false" outlineLevel="0" collapsed="false">
      <c r="A37" s="30" t="s">
        <v>256</v>
      </c>
      <c r="B37" s="30" t="s">
        <v>106</v>
      </c>
      <c r="C37" s="31" t="s">
        <v>257</v>
      </c>
      <c r="D37" s="32" t="s">
        <v>258</v>
      </c>
      <c r="E37" s="33" t="s">
        <v>125</v>
      </c>
      <c r="F37" s="30" t="s">
        <v>176</v>
      </c>
      <c r="G37" s="34" t="n">
        <f aca="false">IF($E37="구현 완료",1,IF($E37="부분 구현",0.5,0))</f>
        <v>1</v>
      </c>
      <c r="H37" s="32" t="s">
        <v>259</v>
      </c>
    </row>
    <row r="38" customFormat="false" ht="15" hidden="false" customHeight="false" outlineLevel="0" collapsed="false">
      <c r="A38" s="30" t="s">
        <v>260</v>
      </c>
      <c r="B38" s="30" t="s">
        <v>106</v>
      </c>
      <c r="C38" s="32" t="s">
        <v>261</v>
      </c>
      <c r="D38" s="32" t="s">
        <v>262</v>
      </c>
      <c r="E38" s="33" t="s">
        <v>125</v>
      </c>
      <c r="F38" s="30" t="s">
        <v>159</v>
      </c>
      <c r="G38" s="34" t="n">
        <f aca="false">IF($E38="구현 완료",1,IF($E38="부분 구현",0.5,0))</f>
        <v>1</v>
      </c>
      <c r="H38" s="32" t="s">
        <v>263</v>
      </c>
    </row>
    <row r="39" customFormat="false" ht="15" hidden="false" customHeight="false" outlineLevel="0" collapsed="false">
      <c r="A39" s="30" t="s">
        <v>264</v>
      </c>
      <c r="B39" s="30" t="s">
        <v>106</v>
      </c>
      <c r="C39" s="31" t="s">
        <v>204</v>
      </c>
      <c r="D39" s="32" t="s">
        <v>265</v>
      </c>
      <c r="E39" s="33" t="s">
        <v>206</v>
      </c>
      <c r="F39" s="30" t="s">
        <v>159</v>
      </c>
      <c r="G39" s="34" t="n">
        <f aca="false">IF($E39="구현 완료",1,IF($E39="부분 구현",0.5,0))</f>
        <v>0.5</v>
      </c>
      <c r="H39" s="32" t="s">
        <v>266</v>
      </c>
    </row>
    <row r="40" customFormat="false" ht="15" hidden="false" customHeight="false" outlineLevel="0" collapsed="false">
      <c r="A40" s="30" t="s">
        <v>267</v>
      </c>
      <c r="B40" s="30" t="s">
        <v>106</v>
      </c>
      <c r="C40" s="32" t="s">
        <v>268</v>
      </c>
      <c r="D40" s="32" t="s">
        <v>269</v>
      </c>
      <c r="E40" s="33" t="s">
        <v>125</v>
      </c>
      <c r="F40" s="33" t="s">
        <v>193</v>
      </c>
      <c r="G40" s="34" t="n">
        <f aca="false">IF($E40="구현 완료",1,IF($E40="부분 구현",0.5,0))</f>
        <v>1</v>
      </c>
      <c r="H40" s="32" t="s">
        <v>270</v>
      </c>
    </row>
    <row r="41" customFormat="false" ht="15" hidden="false" customHeight="false" outlineLevel="0" collapsed="false">
      <c r="A41" s="30" t="s">
        <v>271</v>
      </c>
      <c r="B41" s="30" t="s">
        <v>106</v>
      </c>
      <c r="C41" s="31" t="s">
        <v>272</v>
      </c>
      <c r="D41" s="32" t="s">
        <v>273</v>
      </c>
      <c r="E41" s="33" t="s">
        <v>211</v>
      </c>
      <c r="F41" s="33" t="s">
        <v>193</v>
      </c>
      <c r="G41" s="34" t="n">
        <f aca="false">IF($E41="구현 완료",1,IF($E41="부분 구현",0.5,0))</f>
        <v>0</v>
      </c>
      <c r="H41" s="32" t="s">
        <v>274</v>
      </c>
    </row>
    <row r="42" customFormat="false" ht="15" hidden="false" customHeight="false" outlineLevel="0" collapsed="false">
      <c r="A42" s="30" t="s">
        <v>275</v>
      </c>
      <c r="B42" s="30" t="s">
        <v>106</v>
      </c>
      <c r="C42" s="31" t="s">
        <v>276</v>
      </c>
      <c r="D42" s="32" t="s">
        <v>277</v>
      </c>
      <c r="E42" s="33" t="s">
        <v>278</v>
      </c>
      <c r="F42" s="33" t="s">
        <v>193</v>
      </c>
      <c r="G42" s="34" t="n">
        <f aca="false">IF($E42="구현 완료",1,IF($E42="부분 구현",0.5,0))</f>
        <v>0</v>
      </c>
      <c r="H42" s="32" t="s">
        <v>279</v>
      </c>
    </row>
    <row r="43" customFormat="false" ht="15" hidden="false" customHeight="false" outlineLevel="0" collapsed="false">
      <c r="A43" s="30" t="s">
        <v>280</v>
      </c>
      <c r="B43" s="30" t="s">
        <v>108</v>
      </c>
      <c r="C43" s="31" t="s">
        <v>281</v>
      </c>
      <c r="D43" s="32" t="s">
        <v>282</v>
      </c>
      <c r="E43" s="33" t="s">
        <v>125</v>
      </c>
      <c r="F43" s="30" t="s">
        <v>126</v>
      </c>
      <c r="G43" s="34" t="n">
        <f aca="false">IF($E43="구현 완료",1,IF($E43="부분 구현",0.5,0))</f>
        <v>1</v>
      </c>
      <c r="H43" s="32" t="s">
        <v>283</v>
      </c>
    </row>
    <row r="44" customFormat="false" ht="15" hidden="false" customHeight="false" outlineLevel="0" collapsed="false">
      <c r="A44" s="30" t="s">
        <v>284</v>
      </c>
      <c r="B44" s="30" t="s">
        <v>108</v>
      </c>
      <c r="C44" s="31" t="s">
        <v>285</v>
      </c>
      <c r="D44" s="32" t="s">
        <v>286</v>
      </c>
      <c r="E44" s="33" t="s">
        <v>125</v>
      </c>
      <c r="F44" s="30" t="s">
        <v>126</v>
      </c>
      <c r="G44" s="34" t="n">
        <f aca="false">IF($E44="구현 완료",1,IF($E44="부분 구현",0.5,0))</f>
        <v>1</v>
      </c>
      <c r="H44" s="32" t="s">
        <v>287</v>
      </c>
    </row>
    <row r="45" customFormat="false" ht="15" hidden="false" customHeight="false" outlineLevel="0" collapsed="false">
      <c r="A45" s="30" t="s">
        <v>288</v>
      </c>
      <c r="B45" s="30" t="s">
        <v>108</v>
      </c>
      <c r="C45" s="31" t="s">
        <v>289</v>
      </c>
      <c r="D45" s="32" t="s">
        <v>290</v>
      </c>
      <c r="E45" s="33" t="s">
        <v>125</v>
      </c>
      <c r="F45" s="30" t="s">
        <v>126</v>
      </c>
      <c r="G45" s="34" t="n">
        <f aca="false">IF($E45="구현 완료",1,IF($E45="부분 구현",0.5,0))</f>
        <v>1</v>
      </c>
      <c r="H45" s="32" t="s">
        <v>291</v>
      </c>
    </row>
    <row r="46" customFormat="false" ht="15" hidden="false" customHeight="false" outlineLevel="0" collapsed="false">
      <c r="A46" s="30" t="s">
        <v>292</v>
      </c>
      <c r="B46" s="30" t="s">
        <v>108</v>
      </c>
      <c r="C46" s="31" t="s">
        <v>293</v>
      </c>
      <c r="D46" s="32" t="s">
        <v>294</v>
      </c>
      <c r="E46" s="33" t="s">
        <v>125</v>
      </c>
      <c r="F46" s="30" t="s">
        <v>138</v>
      </c>
      <c r="G46" s="34" t="n">
        <f aca="false">IF($E46="구현 완료",1,IF($E46="부분 구현",0.5,0))</f>
        <v>1</v>
      </c>
      <c r="H46" s="32" t="s">
        <v>295</v>
      </c>
    </row>
    <row r="47" customFormat="false" ht="15" hidden="false" customHeight="false" outlineLevel="0" collapsed="false">
      <c r="A47" s="30" t="s">
        <v>296</v>
      </c>
      <c r="B47" s="30" t="s">
        <v>108</v>
      </c>
      <c r="C47" s="31" t="s">
        <v>297</v>
      </c>
      <c r="D47" s="32" t="s">
        <v>298</v>
      </c>
      <c r="E47" s="33" t="s">
        <v>125</v>
      </c>
      <c r="F47" s="30" t="s">
        <v>138</v>
      </c>
      <c r="G47" s="34" t="n">
        <f aca="false">IF($E47="구현 완료",1,IF($E47="부분 구현",0.5,0))</f>
        <v>1</v>
      </c>
      <c r="H47" s="32" t="s">
        <v>299</v>
      </c>
    </row>
    <row r="48" customFormat="false" ht="15" hidden="false" customHeight="false" outlineLevel="0" collapsed="false">
      <c r="A48" s="30" t="s">
        <v>300</v>
      </c>
      <c r="B48" s="30" t="s">
        <v>108</v>
      </c>
      <c r="C48" s="31" t="s">
        <v>301</v>
      </c>
      <c r="D48" s="32" t="s">
        <v>302</v>
      </c>
      <c r="E48" s="33" t="s">
        <v>125</v>
      </c>
      <c r="F48" s="30" t="s">
        <v>138</v>
      </c>
      <c r="G48" s="34" t="n">
        <f aca="false">IF($E48="구현 완료",1,IF($E48="부분 구현",0.5,0))</f>
        <v>1</v>
      </c>
      <c r="H48" s="32" t="s">
        <v>303</v>
      </c>
    </row>
    <row r="49" customFormat="false" ht="15" hidden="false" customHeight="false" outlineLevel="0" collapsed="false">
      <c r="A49" s="30" t="s">
        <v>304</v>
      </c>
      <c r="B49" s="30" t="s">
        <v>108</v>
      </c>
      <c r="C49" s="31" t="s">
        <v>305</v>
      </c>
      <c r="D49" s="32" t="s">
        <v>306</v>
      </c>
      <c r="E49" s="33" t="s">
        <v>125</v>
      </c>
      <c r="F49" s="30" t="s">
        <v>138</v>
      </c>
      <c r="G49" s="34" t="n">
        <f aca="false">IF($E49="구현 완료",1,IF($E49="부분 구현",0.5,0))</f>
        <v>1</v>
      </c>
      <c r="H49" s="32" t="s">
        <v>307</v>
      </c>
    </row>
    <row r="50" customFormat="false" ht="15" hidden="false" customHeight="false" outlineLevel="0" collapsed="false">
      <c r="A50" s="30" t="s">
        <v>308</v>
      </c>
      <c r="B50" s="30" t="s">
        <v>108</v>
      </c>
      <c r="C50" s="31" t="s">
        <v>309</v>
      </c>
      <c r="D50" s="32" t="s">
        <v>310</v>
      </c>
      <c r="E50" s="33" t="s">
        <v>125</v>
      </c>
      <c r="F50" s="30" t="s">
        <v>176</v>
      </c>
      <c r="G50" s="34" t="n">
        <f aca="false">IF($E50="구현 완료",1,IF($E50="부분 구현",0.5,0))</f>
        <v>1</v>
      </c>
      <c r="H50" s="32" t="s">
        <v>311</v>
      </c>
    </row>
    <row r="51" customFormat="false" ht="15" hidden="false" customHeight="false" outlineLevel="0" collapsed="false">
      <c r="A51" s="30" t="s">
        <v>312</v>
      </c>
      <c r="B51" s="30" t="s">
        <v>108</v>
      </c>
      <c r="C51" s="31" t="s">
        <v>313</v>
      </c>
      <c r="D51" s="32" t="s">
        <v>314</v>
      </c>
      <c r="E51" s="33" t="s">
        <v>125</v>
      </c>
      <c r="F51" s="30" t="s">
        <v>176</v>
      </c>
      <c r="G51" s="34" t="n">
        <f aca="false">IF($E51="구현 완료",1,IF($E51="부분 구현",0.5,0))</f>
        <v>1</v>
      </c>
      <c r="H51" s="32" t="s">
        <v>315</v>
      </c>
    </row>
    <row r="52" customFormat="false" ht="29.85" hidden="false" customHeight="false" outlineLevel="0" collapsed="false">
      <c r="A52" s="30" t="s">
        <v>316</v>
      </c>
      <c r="B52" s="30" t="s">
        <v>108</v>
      </c>
      <c r="C52" s="31" t="s">
        <v>317</v>
      </c>
      <c r="D52" s="31" t="s">
        <v>318</v>
      </c>
      <c r="E52" s="33" t="s">
        <v>125</v>
      </c>
      <c r="F52" s="30" t="s">
        <v>176</v>
      </c>
      <c r="G52" s="34" t="n">
        <f aca="false">IF($E52="구현 완료",1,IF($E52="부분 구현",0.5,0))</f>
        <v>1</v>
      </c>
      <c r="H52" s="32" t="s">
        <v>319</v>
      </c>
    </row>
    <row r="53" customFormat="false" ht="15" hidden="false" customHeight="false" outlineLevel="0" collapsed="false">
      <c r="A53" s="30" t="s">
        <v>320</v>
      </c>
      <c r="B53" s="30" t="s">
        <v>108</v>
      </c>
      <c r="C53" s="31" t="s">
        <v>321</v>
      </c>
      <c r="D53" s="32" t="s">
        <v>322</v>
      </c>
      <c r="E53" s="33" t="s">
        <v>125</v>
      </c>
      <c r="F53" s="30" t="s">
        <v>159</v>
      </c>
      <c r="G53" s="34" t="n">
        <f aca="false">IF($E53="구현 완료",1,IF($E53="부분 구현",0.5,0))</f>
        <v>1</v>
      </c>
      <c r="H53" s="32" t="s">
        <v>323</v>
      </c>
    </row>
    <row r="54" customFormat="false" ht="15" hidden="false" customHeight="false" outlineLevel="0" collapsed="false">
      <c r="A54" s="30" t="s">
        <v>324</v>
      </c>
      <c r="B54" s="30" t="s">
        <v>108</v>
      </c>
      <c r="C54" s="31" t="s">
        <v>325</v>
      </c>
      <c r="D54" s="32" t="s">
        <v>326</v>
      </c>
      <c r="E54" s="33" t="s">
        <v>125</v>
      </c>
      <c r="F54" s="30" t="s">
        <v>159</v>
      </c>
      <c r="G54" s="34" t="n">
        <f aca="false">IF($E54="구현 완료",1,IF($E54="부분 구현",0.5,0))</f>
        <v>1</v>
      </c>
      <c r="H54" s="32" t="s">
        <v>327</v>
      </c>
    </row>
    <row r="55" customFormat="false" ht="15" hidden="false" customHeight="false" outlineLevel="0" collapsed="false">
      <c r="A55" s="30" t="s">
        <v>328</v>
      </c>
      <c r="B55" s="30" t="s">
        <v>108</v>
      </c>
      <c r="C55" s="31" t="s">
        <v>329</v>
      </c>
      <c r="D55" s="32" t="s">
        <v>330</v>
      </c>
      <c r="E55" s="33" t="s">
        <v>125</v>
      </c>
      <c r="F55" s="30" t="s">
        <v>159</v>
      </c>
      <c r="G55" s="34" t="n">
        <f aca="false">IF($E55="구현 완료",1,IF($E55="부분 구현",0.5,0))</f>
        <v>1</v>
      </c>
      <c r="H55" s="32" t="s">
        <v>331</v>
      </c>
    </row>
    <row r="56" customFormat="false" ht="29.85" hidden="false" customHeight="false" outlineLevel="0" collapsed="false">
      <c r="A56" s="30" t="s">
        <v>332</v>
      </c>
      <c r="B56" s="30" t="s">
        <v>108</v>
      </c>
      <c r="C56" s="31" t="s">
        <v>333</v>
      </c>
      <c r="D56" s="32" t="s">
        <v>334</v>
      </c>
      <c r="E56" s="33" t="s">
        <v>125</v>
      </c>
      <c r="F56" s="30" t="s">
        <v>159</v>
      </c>
      <c r="G56" s="34" t="n">
        <f aca="false">IF($E56="구현 완료",1,IF($E56="부분 구현",0.5,0))</f>
        <v>1</v>
      </c>
      <c r="H56" s="32" t="s">
        <v>335</v>
      </c>
    </row>
    <row r="57" customFormat="false" ht="15" hidden="false" customHeight="false" outlineLevel="0" collapsed="false">
      <c r="A57" s="30" t="s">
        <v>336</v>
      </c>
      <c r="B57" s="30" t="s">
        <v>108</v>
      </c>
      <c r="C57" s="31" t="s">
        <v>337</v>
      </c>
      <c r="D57" s="32" t="s">
        <v>338</v>
      </c>
      <c r="E57" s="33" t="s">
        <v>125</v>
      </c>
      <c r="F57" s="33" t="s">
        <v>193</v>
      </c>
      <c r="G57" s="34" t="n">
        <f aca="false">IF($E57="구현 완료",1,IF($E57="부분 구현",0.5,0))</f>
        <v>1</v>
      </c>
      <c r="H57" s="32" t="s">
        <v>339</v>
      </c>
    </row>
    <row r="58" customFormat="false" ht="15" hidden="false" customHeight="false" outlineLevel="0" collapsed="false">
      <c r="A58" s="30" t="s">
        <v>340</v>
      </c>
      <c r="B58" s="30" t="s">
        <v>108</v>
      </c>
      <c r="C58" s="31" t="s">
        <v>204</v>
      </c>
      <c r="D58" s="32" t="s">
        <v>341</v>
      </c>
      <c r="E58" s="33" t="s">
        <v>206</v>
      </c>
      <c r="F58" s="30" t="s">
        <v>159</v>
      </c>
      <c r="G58" s="34" t="n">
        <f aca="false">IF($E58="구현 완료",1,IF($E58="부분 구현",0.5,0))</f>
        <v>0.5</v>
      </c>
      <c r="H58" s="32" t="s">
        <v>342</v>
      </c>
    </row>
    <row r="59" customFormat="false" ht="15" hidden="false" customHeight="false" outlineLevel="0" collapsed="false">
      <c r="A59" s="30" t="s">
        <v>343</v>
      </c>
      <c r="B59" s="30" t="s">
        <v>108</v>
      </c>
      <c r="C59" s="32" t="s">
        <v>344</v>
      </c>
      <c r="D59" s="32" t="s">
        <v>345</v>
      </c>
      <c r="E59" s="33" t="s">
        <v>206</v>
      </c>
      <c r="F59" s="33" t="s">
        <v>193</v>
      </c>
      <c r="G59" s="34" t="n">
        <f aca="false">IF($E59="구현 완료",1,IF($E59="부분 구현",0.5,0))</f>
        <v>0.5</v>
      </c>
      <c r="H59" s="32" t="s">
        <v>346</v>
      </c>
    </row>
    <row r="60" customFormat="false" ht="15" hidden="false" customHeight="false" outlineLevel="0" collapsed="false">
      <c r="A60" s="30" t="s">
        <v>347</v>
      </c>
      <c r="B60" s="30" t="s">
        <v>108</v>
      </c>
      <c r="C60" s="31" t="s">
        <v>348</v>
      </c>
      <c r="D60" s="31" t="s">
        <v>349</v>
      </c>
      <c r="E60" s="33" t="s">
        <v>125</v>
      </c>
      <c r="F60" s="33" t="s">
        <v>193</v>
      </c>
      <c r="G60" s="34" t="n">
        <f aca="false">IF($E60="구현 완료",1,IF($E60="부분 구현",0.5,0))</f>
        <v>1</v>
      </c>
      <c r="H60" s="32" t="s">
        <v>350</v>
      </c>
    </row>
    <row r="61" customFormat="false" ht="15" hidden="false" customHeight="false" outlineLevel="0" collapsed="false">
      <c r="A61" s="30" t="s">
        <v>351</v>
      </c>
      <c r="B61" s="30" t="s">
        <v>108</v>
      </c>
      <c r="C61" s="31" t="s">
        <v>352</v>
      </c>
      <c r="D61" s="32" t="s">
        <v>353</v>
      </c>
      <c r="E61" s="33" t="s">
        <v>278</v>
      </c>
      <c r="F61" s="33" t="s">
        <v>193</v>
      </c>
      <c r="G61" s="34" t="n">
        <f aca="false">IF($E61="구현 완료",1,IF($E61="부분 구현",0.5,0))</f>
        <v>0</v>
      </c>
      <c r="H61" s="31" t="s">
        <v>354</v>
      </c>
    </row>
    <row r="62" customFormat="false" ht="15" hidden="false" customHeight="false" outlineLevel="0" collapsed="false">
      <c r="A62" s="30" t="s">
        <v>355</v>
      </c>
      <c r="B62" s="33" t="s">
        <v>356</v>
      </c>
      <c r="C62" s="32" t="s">
        <v>357</v>
      </c>
      <c r="D62" s="32" t="s">
        <v>358</v>
      </c>
      <c r="E62" s="33" t="s">
        <v>125</v>
      </c>
      <c r="F62" s="30" t="s">
        <v>176</v>
      </c>
      <c r="G62" s="34" t="n">
        <f aca="false">IF($E62="구현 완료",1,IF($E62="부분 구현",0.5,0))</f>
        <v>1</v>
      </c>
      <c r="H62" s="32" t="s">
        <v>359</v>
      </c>
    </row>
    <row r="63" customFormat="false" ht="15" hidden="false" customHeight="false" outlineLevel="0" collapsed="false">
      <c r="A63" s="30" t="s">
        <v>360</v>
      </c>
      <c r="B63" s="33" t="s">
        <v>356</v>
      </c>
      <c r="C63" s="31" t="s">
        <v>361</v>
      </c>
      <c r="D63" s="32" t="s">
        <v>362</v>
      </c>
      <c r="E63" s="33" t="s">
        <v>125</v>
      </c>
      <c r="F63" s="33" t="s">
        <v>193</v>
      </c>
      <c r="G63" s="34" t="n">
        <f aca="false">IF($E63="구현 완료",1,IF($E63="부분 구현",0.5,0))</f>
        <v>1</v>
      </c>
      <c r="H63" s="32" t="s">
        <v>363</v>
      </c>
    </row>
    <row r="64" customFormat="false" ht="15" hidden="false" customHeight="false" outlineLevel="0" collapsed="false">
      <c r="A64" s="30" t="s">
        <v>364</v>
      </c>
      <c r="B64" s="33" t="s">
        <v>356</v>
      </c>
      <c r="C64" s="32" t="s">
        <v>365</v>
      </c>
      <c r="D64" s="32" t="s">
        <v>366</v>
      </c>
      <c r="E64" s="33" t="s">
        <v>125</v>
      </c>
      <c r="F64" s="33" t="s">
        <v>193</v>
      </c>
      <c r="G64" s="34" t="n">
        <f aca="false">IF($E64="구현 완료",1,IF($E64="부분 구현",0.5,0))</f>
        <v>1</v>
      </c>
      <c r="H64" s="32" t="s">
        <v>367</v>
      </c>
    </row>
    <row r="65" customFormat="false" ht="15" hidden="false" customHeight="false" outlineLevel="0" collapsed="false">
      <c r="A65" s="30" t="s">
        <v>368</v>
      </c>
      <c r="B65" s="33" t="s">
        <v>356</v>
      </c>
      <c r="C65" s="31" t="s">
        <v>369</v>
      </c>
      <c r="D65" s="32" t="s">
        <v>370</v>
      </c>
      <c r="E65" s="33" t="s">
        <v>125</v>
      </c>
      <c r="F65" s="30" t="s">
        <v>138</v>
      </c>
      <c r="G65" s="34" t="n">
        <f aca="false">IF($E65="구현 완료",1,IF($E65="부분 구현",0.5,0))</f>
        <v>1</v>
      </c>
      <c r="H65" s="32" t="s">
        <v>371</v>
      </c>
    </row>
    <row r="66" customFormat="false" ht="15" hidden="false" customHeight="false" outlineLevel="0" collapsed="false">
      <c r="A66" s="30" t="s">
        <v>372</v>
      </c>
      <c r="B66" s="33" t="s">
        <v>356</v>
      </c>
      <c r="C66" s="31" t="s">
        <v>373</v>
      </c>
      <c r="D66" s="31" t="s">
        <v>374</v>
      </c>
      <c r="E66" s="33" t="s">
        <v>125</v>
      </c>
      <c r="F66" s="30" t="s">
        <v>138</v>
      </c>
      <c r="G66" s="34" t="n">
        <f aca="false">IF($E66="구현 완료",1,IF($E66="부분 구현",0.5,0))</f>
        <v>1</v>
      </c>
      <c r="H66" s="32" t="s">
        <v>375</v>
      </c>
    </row>
    <row r="67" customFormat="false" ht="15" hidden="false" customHeight="false" outlineLevel="0" collapsed="false">
      <c r="A67" s="30" t="s">
        <v>376</v>
      </c>
      <c r="B67" s="33" t="s">
        <v>356</v>
      </c>
      <c r="C67" s="32" t="s">
        <v>377</v>
      </c>
      <c r="D67" s="32" t="s">
        <v>378</v>
      </c>
      <c r="E67" s="33" t="s">
        <v>125</v>
      </c>
      <c r="F67" s="33" t="s">
        <v>193</v>
      </c>
      <c r="G67" s="34" t="n">
        <f aca="false">IF($E67="구현 완료",1,IF($E67="부분 구현",0.5,0))</f>
        <v>1</v>
      </c>
      <c r="H67" s="32" t="s">
        <v>379</v>
      </c>
    </row>
    <row r="68" customFormat="false" ht="15" hidden="false" customHeight="false" outlineLevel="0" collapsed="false">
      <c r="A68" s="30" t="s">
        <v>380</v>
      </c>
      <c r="B68" s="33" t="s">
        <v>356</v>
      </c>
      <c r="C68" s="32" t="s">
        <v>381</v>
      </c>
      <c r="D68" s="32" t="s">
        <v>382</v>
      </c>
      <c r="E68" s="33" t="s">
        <v>125</v>
      </c>
      <c r="F68" s="33" t="s">
        <v>193</v>
      </c>
      <c r="G68" s="34" t="n">
        <f aca="false">IF($E68="구현 완료",1,IF($E68="부분 구현",0.5,0))</f>
        <v>1</v>
      </c>
      <c r="H68" s="32" t="s">
        <v>383</v>
      </c>
    </row>
    <row r="69" customFormat="false" ht="15" hidden="false" customHeight="false" outlineLevel="0" collapsed="false">
      <c r="A69" s="30" t="s">
        <v>384</v>
      </c>
      <c r="B69" s="33" t="s">
        <v>356</v>
      </c>
      <c r="C69" s="31" t="s">
        <v>385</v>
      </c>
      <c r="D69" s="32" t="s">
        <v>386</v>
      </c>
      <c r="E69" s="33" t="s">
        <v>125</v>
      </c>
      <c r="F69" s="30" t="s">
        <v>138</v>
      </c>
      <c r="G69" s="34" t="n">
        <f aca="false">IF($E69="구현 완료",1,IF($E69="부분 구현",0.5,0))</f>
        <v>1</v>
      </c>
      <c r="H69" s="32" t="s">
        <v>387</v>
      </c>
    </row>
    <row r="70" customFormat="false" ht="15" hidden="false" customHeight="false" outlineLevel="0" collapsed="false">
      <c r="A70" s="30" t="s">
        <v>388</v>
      </c>
      <c r="B70" s="33" t="s">
        <v>356</v>
      </c>
      <c r="C70" s="32" t="s">
        <v>389</v>
      </c>
      <c r="D70" s="32" t="s">
        <v>390</v>
      </c>
      <c r="E70" s="33" t="s">
        <v>125</v>
      </c>
      <c r="F70" s="33" t="s">
        <v>193</v>
      </c>
      <c r="G70" s="34" t="n">
        <f aca="false">IF($E70="구현 완료",1,IF($E70="부분 구현",0.5,0))</f>
        <v>1</v>
      </c>
      <c r="H70" s="32" t="s">
        <v>391</v>
      </c>
    </row>
    <row r="71" customFormat="false" ht="15" hidden="false" customHeight="false" outlineLevel="0" collapsed="false">
      <c r="A71" s="30" t="s">
        <v>392</v>
      </c>
      <c r="B71" s="33" t="s">
        <v>356</v>
      </c>
      <c r="C71" s="32" t="s">
        <v>393</v>
      </c>
      <c r="D71" s="32" t="s">
        <v>394</v>
      </c>
      <c r="E71" s="33" t="s">
        <v>125</v>
      </c>
      <c r="F71" s="33" t="s">
        <v>193</v>
      </c>
      <c r="G71" s="34" t="n">
        <f aca="false">IF($E71="구현 완료",1,IF($E71="부분 구현",0.5,0))</f>
        <v>1</v>
      </c>
      <c r="H71" s="32" t="s">
        <v>395</v>
      </c>
    </row>
    <row r="73" customFormat="false" ht="21.75" hidden="false" customHeight="true" outlineLevel="0" collapsed="false">
      <c r="A73" s="25" t="s">
        <v>396</v>
      </c>
      <c r="B73" s="25"/>
      <c r="C73" s="25"/>
      <c r="D73" s="25"/>
      <c r="E73" s="25"/>
      <c r="F73" s="25"/>
      <c r="G73" s="25"/>
      <c r="H73" s="25"/>
    </row>
    <row r="74" customFormat="false" ht="15" hidden="false" customHeight="false" outlineLevel="0" collapsed="false">
      <c r="C74" s="35" t="s">
        <v>397</v>
      </c>
      <c r="D74" s="36" t="n">
        <f aca="false">COUNTA($A$5:$A$71)</f>
        <v>67</v>
      </c>
    </row>
    <row r="75" customFormat="false" ht="15" hidden="false" customHeight="false" outlineLevel="0" collapsed="false">
      <c r="C75" s="35" t="s">
        <v>125</v>
      </c>
      <c r="D75" s="36" t="n">
        <f aca="false">COUNTIF($E$5:$E$71,"구현 완료")</f>
        <v>59</v>
      </c>
    </row>
    <row r="76" customFormat="false" ht="15" hidden="false" customHeight="false" outlineLevel="0" collapsed="false">
      <c r="C76" s="35" t="s">
        <v>206</v>
      </c>
      <c r="D76" s="36" t="n">
        <f aca="false">COUNTIF($E$5:$E$71,"부분 구현")</f>
        <v>4</v>
      </c>
    </row>
    <row r="77" customFormat="false" ht="15" hidden="false" customHeight="false" outlineLevel="0" collapsed="false">
      <c r="C77" s="35" t="s">
        <v>211</v>
      </c>
      <c r="D77" s="36" t="n">
        <f aca="false">COUNTIF($E$5:$E$71,"코드 근거 미확인")</f>
        <v>2</v>
      </c>
    </row>
    <row r="78" customFormat="false" ht="15" hidden="false" customHeight="false" outlineLevel="0" collapsed="false">
      <c r="C78" s="35" t="s">
        <v>278</v>
      </c>
      <c r="D78" s="36" t="n">
        <f aca="false">COUNTIF($E$5:$E$71,"미지원")</f>
        <v>2</v>
      </c>
    </row>
    <row r="79" customFormat="false" ht="15" hidden="false" customHeight="false" outlineLevel="0" collapsed="false">
      <c r="C79" s="35" t="s">
        <v>398</v>
      </c>
      <c r="D79" s="37" t="n">
        <f aca="false">IFERROR(AVERAGE($G$5:$G$71),"")</f>
        <v>0.91044776119403</v>
      </c>
    </row>
    <row r="80" customFormat="false" ht="15" hidden="false" customHeight="false" outlineLevel="0" collapsed="false">
      <c r="C80" s="13" t="s">
        <v>399</v>
      </c>
      <c r="D80" s="37" t="n">
        <f aca="false">IFERROR(COUNTIFS($F$5:$F$71,"P0",$E$5:$E$71,"구현 완료")/COUNTIF($F$5:$F$71,"P0"),"")</f>
        <v>1</v>
      </c>
    </row>
    <row r="81" customFormat="false" ht="25.35" hidden="false" customHeight="true" outlineLevel="0" collapsed="false">
      <c r="A81" s="38" t="s">
        <v>400</v>
      </c>
      <c r="B81" s="38"/>
      <c r="C81" s="38"/>
      <c r="D81" s="38"/>
      <c r="E81" s="38"/>
      <c r="F81" s="38"/>
      <c r="G81" s="38"/>
      <c r="H81" s="38"/>
    </row>
  </sheetData>
  <autoFilter ref="A4:H71"/>
  <mergeCells count="4">
    <mergeCell ref="A1:H1"/>
    <mergeCell ref="A2:H2"/>
    <mergeCell ref="A73:H73"/>
    <mergeCell ref="A81:H81"/>
  </mergeCells>
  <conditionalFormatting sqref="E5:E71">
    <cfRule type="cellIs" priority="2" operator="equal" aboveAverage="0" equalAverage="0" bottom="0" percent="0" rank="0" text="" dxfId="9">
      <formula>"구현 완료"</formula>
    </cfRule>
    <cfRule type="cellIs" priority="3" operator="equal" aboveAverage="0" equalAverage="0" bottom="0" percent="0" rank="0" text="" dxfId="10">
      <formula>"부분 구현"</formula>
    </cfRule>
    <cfRule type="cellIs" priority="4" operator="equal" aboveAverage="0" equalAverage="0" bottom="0" percent="0" rank="0" text="" dxfId="11">
      <formula>"코드 근거 미확인"</formula>
    </cfRule>
    <cfRule type="cellIs" priority="5" operator="equal" aboveAverage="0" equalAverage="0" bottom="0" percent="0" rank="0" text="" dxfId="12">
      <formula>"미지원"</formula>
    </cfRule>
  </conditionalFormatting>
  <conditionalFormatting sqref="F5:F71">
    <cfRule type="cellIs" priority="6" operator="equal" aboveAverage="0" equalAverage="0" bottom="0" percent="0" rank="0" text="" dxfId="13">
      <formula>"P0"</formula>
    </cfRule>
  </conditionalFormatting>
  <conditionalFormatting sqref="G5:G71">
    <cfRule type="iconSet" priority="7">
      <iconSet iconSet="3TrafficLights1">
        <cfvo type="percent" val="0"/>
        <cfvo type="percent" val="50"/>
        <cfvo type="percent" val="100"/>
      </iconSet>
    </cfRule>
  </conditionalFormatting>
  <dataValidations count="2">
    <dataValidation allowBlank="false" error="허용된 구현 상태 값만 입력할 수 있습니다." errorStyle="stop" errorTitle="입력 값 오류" operator="between" prompt="구현 완료 / 부분 구현 / 코드 근거 미확인 / 미지원 중 선택" promptTitle="구현 상태" showDropDown="false" showErrorMessage="false" showInputMessage="false" sqref="E5:E71" type="list">
      <formula1>"구현 완료,부분 구현,코드 근거 미확인,미지원"</formula1>
      <formula2>0</formula2>
    </dataValidation>
    <dataValidation allowBlank="false" errorStyle="stop" operator="between" showDropDown="false" showErrorMessage="false" showInputMessage="false" sqref="F5:F71" type="list">
      <formula1>"P0,P1,P2,P3,미분류"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6000"/>
    <pageSetUpPr fitToPage="tru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401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8" t="s">
        <v>402</v>
      </c>
      <c r="B2" s="18"/>
      <c r="C2" s="18"/>
      <c r="D2" s="18"/>
      <c r="E2" s="18"/>
      <c r="F2" s="18"/>
      <c r="G2" s="18"/>
      <c r="H2" s="18"/>
      <c r="I2" s="18"/>
    </row>
    <row r="4" customFormat="false" ht="33.75" hidden="false" customHeight="true" outlineLevel="0" collapsed="false">
      <c r="A4" s="27" t="s">
        <v>403</v>
      </c>
      <c r="B4" s="27" t="s">
        <v>404</v>
      </c>
      <c r="C4" s="27" t="s">
        <v>405</v>
      </c>
      <c r="D4" s="27" t="s">
        <v>406</v>
      </c>
      <c r="E4" s="27" t="s">
        <v>407</v>
      </c>
      <c r="F4" s="27" t="s">
        <v>408</v>
      </c>
      <c r="G4" s="27" t="s">
        <v>409</v>
      </c>
      <c r="H4" s="26" t="s">
        <v>410</v>
      </c>
      <c r="I4" s="27" t="s">
        <v>411</v>
      </c>
    </row>
    <row r="5" customFormat="false" ht="29.85" hidden="false" customHeight="false" outlineLevel="0" collapsed="false">
      <c r="A5" s="39" t="s">
        <v>412</v>
      </c>
      <c r="B5" s="40" t="s">
        <v>413</v>
      </c>
      <c r="C5" s="30" t="s">
        <v>414</v>
      </c>
      <c r="D5" s="39" t="s">
        <v>415</v>
      </c>
      <c r="E5" s="39" t="s">
        <v>416</v>
      </c>
      <c r="F5" s="39" t="s">
        <v>417</v>
      </c>
      <c r="G5" s="31" t="s">
        <v>418</v>
      </c>
      <c r="H5" s="33" t="s">
        <v>419</v>
      </c>
      <c r="I5" s="32" t="s">
        <v>420</v>
      </c>
    </row>
    <row r="6" customFormat="false" ht="15" hidden="false" customHeight="false" outlineLevel="0" collapsed="false">
      <c r="A6" s="39" t="s">
        <v>421</v>
      </c>
      <c r="B6" s="40" t="s">
        <v>422</v>
      </c>
      <c r="C6" s="30" t="s">
        <v>423</v>
      </c>
      <c r="D6" s="40" t="s">
        <v>424</v>
      </c>
      <c r="E6" s="39" t="s">
        <v>425</v>
      </c>
      <c r="F6" s="39" t="s">
        <v>417</v>
      </c>
      <c r="G6" s="31" t="s">
        <v>426</v>
      </c>
      <c r="H6" s="33" t="s">
        <v>419</v>
      </c>
      <c r="I6" s="32" t="s">
        <v>427</v>
      </c>
    </row>
    <row r="7" customFormat="false" ht="15" hidden="false" customHeight="false" outlineLevel="0" collapsed="false">
      <c r="A7" s="39" t="s">
        <v>421</v>
      </c>
      <c r="B7" s="40" t="s">
        <v>428</v>
      </c>
      <c r="C7" s="30" t="s">
        <v>414</v>
      </c>
      <c r="D7" s="40" t="s">
        <v>429</v>
      </c>
      <c r="E7" s="39" t="s">
        <v>430</v>
      </c>
      <c r="F7" s="39" t="s">
        <v>417</v>
      </c>
      <c r="G7" s="31" t="s">
        <v>431</v>
      </c>
      <c r="H7" s="33" t="s">
        <v>419</v>
      </c>
      <c r="I7" s="32" t="s">
        <v>432</v>
      </c>
    </row>
    <row r="8" customFormat="false" ht="15" hidden="false" customHeight="false" outlineLevel="0" collapsed="false">
      <c r="A8" s="39" t="s">
        <v>421</v>
      </c>
      <c r="B8" s="40" t="s">
        <v>433</v>
      </c>
      <c r="C8" s="30" t="s">
        <v>414</v>
      </c>
      <c r="D8" s="40" t="s">
        <v>434</v>
      </c>
      <c r="E8" s="39" t="s">
        <v>435</v>
      </c>
      <c r="F8" s="39" t="s">
        <v>417</v>
      </c>
      <c r="G8" s="31" t="s">
        <v>436</v>
      </c>
      <c r="H8" s="33" t="s">
        <v>419</v>
      </c>
      <c r="I8" s="32" t="s">
        <v>437</v>
      </c>
    </row>
    <row r="9" customFormat="false" ht="15" hidden="false" customHeight="false" outlineLevel="0" collapsed="false">
      <c r="A9" s="39" t="s">
        <v>421</v>
      </c>
      <c r="B9" s="40" t="s">
        <v>438</v>
      </c>
      <c r="C9" s="30" t="s">
        <v>414</v>
      </c>
      <c r="D9" s="39" t="s">
        <v>439</v>
      </c>
      <c r="E9" s="39" t="s">
        <v>440</v>
      </c>
      <c r="F9" s="39" t="s">
        <v>417</v>
      </c>
      <c r="G9" s="31" t="s">
        <v>441</v>
      </c>
      <c r="H9" s="33" t="s">
        <v>419</v>
      </c>
      <c r="I9" s="32" t="s">
        <v>442</v>
      </c>
    </row>
    <row r="10" customFormat="false" ht="15" hidden="false" customHeight="false" outlineLevel="0" collapsed="false">
      <c r="A10" s="39" t="s">
        <v>421</v>
      </c>
      <c r="B10" s="40" t="s">
        <v>443</v>
      </c>
      <c r="C10" s="30" t="s">
        <v>414</v>
      </c>
      <c r="D10" s="39" t="s">
        <v>439</v>
      </c>
      <c r="E10" s="40" t="s">
        <v>444</v>
      </c>
      <c r="F10" s="39" t="s">
        <v>417</v>
      </c>
      <c r="G10" s="32" t="s">
        <v>445</v>
      </c>
      <c r="H10" s="33" t="s">
        <v>419</v>
      </c>
      <c r="I10" s="32" t="s">
        <v>446</v>
      </c>
    </row>
    <row r="11" customFormat="false" ht="15" hidden="false" customHeight="false" outlineLevel="0" collapsed="false">
      <c r="A11" s="39" t="s">
        <v>421</v>
      </c>
      <c r="B11" s="40" t="s">
        <v>447</v>
      </c>
      <c r="C11" s="30" t="s">
        <v>414</v>
      </c>
      <c r="D11" s="39" t="s">
        <v>448</v>
      </c>
      <c r="E11" s="39" t="s">
        <v>449</v>
      </c>
      <c r="F11" s="40" t="s">
        <v>108</v>
      </c>
      <c r="G11" s="31" t="s">
        <v>450</v>
      </c>
      <c r="H11" s="33" t="s">
        <v>419</v>
      </c>
      <c r="I11" s="32" t="s">
        <v>451</v>
      </c>
    </row>
    <row r="12" customFormat="false" ht="15" hidden="false" customHeight="false" outlineLevel="0" collapsed="false">
      <c r="A12" s="39" t="s">
        <v>421</v>
      </c>
      <c r="B12" s="40" t="s">
        <v>452</v>
      </c>
      <c r="C12" s="30" t="s">
        <v>414</v>
      </c>
      <c r="D12" s="39" t="s">
        <v>453</v>
      </c>
      <c r="E12" s="39" t="s">
        <v>454</v>
      </c>
      <c r="F12" s="40" t="s">
        <v>106</v>
      </c>
      <c r="G12" s="31" t="s">
        <v>455</v>
      </c>
      <c r="H12" s="33" t="s">
        <v>419</v>
      </c>
      <c r="I12" s="32" t="s">
        <v>456</v>
      </c>
    </row>
    <row r="13" customFormat="false" ht="15" hidden="false" customHeight="false" outlineLevel="0" collapsed="false">
      <c r="A13" s="39" t="s">
        <v>421</v>
      </c>
      <c r="B13" s="40" t="s">
        <v>457</v>
      </c>
      <c r="C13" s="30" t="s">
        <v>414</v>
      </c>
      <c r="D13" s="40" t="s">
        <v>458</v>
      </c>
      <c r="E13" s="39" t="s">
        <v>459</v>
      </c>
      <c r="F13" s="39" t="s">
        <v>417</v>
      </c>
      <c r="G13" s="31" t="s">
        <v>460</v>
      </c>
      <c r="H13" s="33" t="s">
        <v>419</v>
      </c>
      <c r="I13" s="32" t="s">
        <v>461</v>
      </c>
    </row>
    <row r="14" customFormat="false" ht="29.85" hidden="false" customHeight="false" outlineLevel="0" collapsed="false">
      <c r="A14" s="39" t="s">
        <v>421</v>
      </c>
      <c r="B14" s="40" t="s">
        <v>462</v>
      </c>
      <c r="C14" s="30" t="s">
        <v>414</v>
      </c>
      <c r="D14" s="39" t="s">
        <v>439</v>
      </c>
      <c r="E14" s="40" t="s">
        <v>463</v>
      </c>
      <c r="F14" s="39" t="s">
        <v>417</v>
      </c>
      <c r="G14" s="31" t="s">
        <v>464</v>
      </c>
      <c r="H14" s="33" t="s">
        <v>465</v>
      </c>
      <c r="I14" s="32" t="s">
        <v>466</v>
      </c>
    </row>
    <row r="15" customFormat="false" ht="15" hidden="false" customHeight="false" outlineLevel="0" collapsed="false">
      <c r="A15" s="39" t="s">
        <v>421</v>
      </c>
      <c r="B15" s="40" t="s">
        <v>467</v>
      </c>
      <c r="C15" s="30" t="s">
        <v>414</v>
      </c>
      <c r="D15" s="39" t="s">
        <v>439</v>
      </c>
      <c r="E15" s="40" t="s">
        <v>463</v>
      </c>
      <c r="F15" s="39" t="s">
        <v>417</v>
      </c>
      <c r="G15" s="32" t="s">
        <v>468</v>
      </c>
      <c r="H15" s="33" t="s">
        <v>465</v>
      </c>
      <c r="I15" s="32" t="s">
        <v>466</v>
      </c>
    </row>
    <row r="16" customFormat="false" ht="15" hidden="false" customHeight="false" outlineLevel="0" collapsed="false">
      <c r="A16" s="39" t="s">
        <v>421</v>
      </c>
      <c r="B16" s="40" t="s">
        <v>469</v>
      </c>
      <c r="C16" s="30" t="s">
        <v>414</v>
      </c>
      <c r="D16" s="39" t="s">
        <v>439</v>
      </c>
      <c r="E16" s="40" t="s">
        <v>463</v>
      </c>
      <c r="F16" s="40" t="s">
        <v>108</v>
      </c>
      <c r="G16" s="31" t="s">
        <v>470</v>
      </c>
      <c r="H16" s="33" t="s">
        <v>465</v>
      </c>
      <c r="I16" s="32" t="s">
        <v>471</v>
      </c>
    </row>
    <row r="17" customFormat="false" ht="15" hidden="false" customHeight="false" outlineLevel="0" collapsed="false">
      <c r="A17" s="39" t="s">
        <v>421</v>
      </c>
      <c r="B17" s="40" t="s">
        <v>472</v>
      </c>
      <c r="C17" s="30" t="s">
        <v>414</v>
      </c>
      <c r="D17" s="39" t="s">
        <v>473</v>
      </c>
      <c r="E17" s="40" t="s">
        <v>474</v>
      </c>
      <c r="F17" s="40" t="s">
        <v>108</v>
      </c>
      <c r="G17" s="31" t="s">
        <v>475</v>
      </c>
      <c r="H17" s="33" t="s">
        <v>465</v>
      </c>
      <c r="I17" s="32" t="s">
        <v>476</v>
      </c>
    </row>
    <row r="18" customFormat="false" ht="15" hidden="false" customHeight="false" outlineLevel="0" collapsed="false">
      <c r="A18" s="39" t="s">
        <v>421</v>
      </c>
      <c r="B18" s="40" t="s">
        <v>477</v>
      </c>
      <c r="C18" s="30" t="s">
        <v>414</v>
      </c>
      <c r="D18" s="39" t="s">
        <v>439</v>
      </c>
      <c r="E18" s="40" t="s">
        <v>463</v>
      </c>
      <c r="F18" s="39" t="s">
        <v>417</v>
      </c>
      <c r="G18" s="31" t="s">
        <v>478</v>
      </c>
      <c r="H18" s="33" t="s">
        <v>465</v>
      </c>
      <c r="I18" s="32" t="s">
        <v>479</v>
      </c>
    </row>
    <row r="19" customFormat="false" ht="15" hidden="false" customHeight="false" outlineLevel="0" collapsed="false">
      <c r="A19" s="39" t="s">
        <v>421</v>
      </c>
      <c r="B19" s="40" t="s">
        <v>480</v>
      </c>
      <c r="C19" s="30" t="s">
        <v>481</v>
      </c>
      <c r="D19" s="39" t="s">
        <v>482</v>
      </c>
      <c r="E19" s="40" t="s">
        <v>483</v>
      </c>
      <c r="F19" s="39" t="s">
        <v>417</v>
      </c>
      <c r="G19" s="31" t="s">
        <v>484</v>
      </c>
      <c r="H19" s="33" t="s">
        <v>465</v>
      </c>
      <c r="I19" s="31" t="s">
        <v>485</v>
      </c>
    </row>
    <row r="20" customFormat="false" ht="15" hidden="false" customHeight="false" outlineLevel="0" collapsed="false">
      <c r="A20" s="39" t="s">
        <v>486</v>
      </c>
      <c r="B20" s="40" t="s">
        <v>487</v>
      </c>
      <c r="C20" s="30" t="s">
        <v>414</v>
      </c>
      <c r="D20" s="40" t="s">
        <v>488</v>
      </c>
      <c r="E20" s="40" t="s">
        <v>489</v>
      </c>
      <c r="F20" s="40" t="s">
        <v>490</v>
      </c>
      <c r="G20" s="31" t="s">
        <v>491</v>
      </c>
      <c r="H20" s="33" t="s">
        <v>465</v>
      </c>
      <c r="I20" s="32" t="s">
        <v>492</v>
      </c>
    </row>
    <row r="21" customFormat="false" ht="15" hidden="false" customHeight="false" outlineLevel="0" collapsed="false">
      <c r="A21" s="39" t="s">
        <v>486</v>
      </c>
      <c r="B21" s="40" t="s">
        <v>493</v>
      </c>
      <c r="C21" s="30" t="s">
        <v>414</v>
      </c>
      <c r="D21" s="40" t="s">
        <v>494</v>
      </c>
      <c r="E21" s="40" t="s">
        <v>495</v>
      </c>
      <c r="F21" s="40" t="s">
        <v>490</v>
      </c>
      <c r="G21" s="31" t="s">
        <v>496</v>
      </c>
      <c r="H21" s="33" t="s">
        <v>465</v>
      </c>
      <c r="I21" s="32" t="s">
        <v>451</v>
      </c>
    </row>
    <row r="22" customFormat="false" ht="15" hidden="false" customHeight="false" outlineLevel="0" collapsed="false">
      <c r="A22" s="39" t="s">
        <v>486</v>
      </c>
      <c r="B22" s="40" t="s">
        <v>497</v>
      </c>
      <c r="C22" s="30" t="s">
        <v>414</v>
      </c>
      <c r="D22" s="40" t="s">
        <v>498</v>
      </c>
      <c r="E22" s="40" t="s">
        <v>499</v>
      </c>
      <c r="F22" s="39" t="s">
        <v>417</v>
      </c>
      <c r="G22" s="31" t="s">
        <v>500</v>
      </c>
      <c r="H22" s="33" t="s">
        <v>465</v>
      </c>
      <c r="I22" s="32" t="s">
        <v>501</v>
      </c>
    </row>
    <row r="23" customFormat="false" ht="15" hidden="false" customHeight="false" outlineLevel="0" collapsed="false">
      <c r="A23" s="39" t="s">
        <v>502</v>
      </c>
      <c r="B23" s="40" t="s">
        <v>503</v>
      </c>
      <c r="C23" s="30" t="s">
        <v>504</v>
      </c>
      <c r="D23" s="39" t="s">
        <v>439</v>
      </c>
      <c r="E23" s="40" t="s">
        <v>414</v>
      </c>
      <c r="F23" s="40" t="s">
        <v>414</v>
      </c>
      <c r="G23" s="31" t="s">
        <v>505</v>
      </c>
      <c r="H23" s="33" t="s">
        <v>506</v>
      </c>
      <c r="I23" s="32" t="s">
        <v>507</v>
      </c>
    </row>
    <row r="25" customFormat="false" ht="15" hidden="false" customHeight="false" outlineLevel="0" collapsed="false">
      <c r="A25" s="13" t="s">
        <v>508</v>
      </c>
      <c r="B25" s="41" t="n">
        <f aca="false">COUNTIF($H$5:$H$23,"미기재")</f>
        <v>9</v>
      </c>
      <c r="C25" s="42" t="s">
        <v>509</v>
      </c>
    </row>
  </sheetData>
  <autoFilter ref="A4:I23"/>
  <mergeCells count="2">
    <mergeCell ref="A1:I1"/>
    <mergeCell ref="A2:I2"/>
  </mergeCells>
  <conditionalFormatting sqref="A5:I23">
    <cfRule type="expression" priority="2" aboveAverage="0" equalAverage="0" bottom="0" percent="0" rank="0" text="" dxfId="14">
      <formula>$H5="미기재"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tru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58"/>
    <col collapsed="false" customWidth="true" hidden="false" outlineLevel="0" max="6" min="6" style="0" width="3"/>
  </cols>
  <sheetData>
    <row r="1" customFormat="false" ht="30" hidden="false" customHeight="true" outlineLevel="0" collapsed="false">
      <c r="A1" s="1" t="s">
        <v>510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18" t="s">
        <v>511</v>
      </c>
      <c r="B2" s="18"/>
      <c r="C2" s="18"/>
      <c r="D2" s="18"/>
      <c r="E2" s="18"/>
      <c r="F2" s="18"/>
    </row>
    <row r="4" customFormat="false" ht="21.75" hidden="false" customHeight="true" outlineLevel="0" collapsed="false">
      <c r="A4" s="3" t="s">
        <v>512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26"/>
      <c r="B5" s="27" t="s">
        <v>513</v>
      </c>
      <c r="C5" s="27" t="s">
        <v>514</v>
      </c>
      <c r="D5" s="27" t="s">
        <v>515</v>
      </c>
      <c r="E5" s="27" t="s">
        <v>409</v>
      </c>
    </row>
    <row r="6" customFormat="false" ht="15" hidden="false" customHeight="false" outlineLevel="0" collapsed="false">
      <c r="A6" s="40"/>
      <c r="B6" s="32" t="s">
        <v>516</v>
      </c>
      <c r="C6" s="40" t="s">
        <v>517</v>
      </c>
      <c r="D6" s="39" t="s">
        <v>518</v>
      </c>
      <c r="E6" s="31" t="s">
        <v>519</v>
      </c>
    </row>
    <row r="7" customFormat="false" ht="23.85" hidden="false" customHeight="false" outlineLevel="0" collapsed="false">
      <c r="A7" s="40"/>
      <c r="B7" s="32" t="s">
        <v>520</v>
      </c>
      <c r="C7" s="40" t="s">
        <v>517</v>
      </c>
      <c r="D7" s="39" t="s">
        <v>521</v>
      </c>
      <c r="E7" s="31" t="s">
        <v>522</v>
      </c>
    </row>
    <row r="8" customFormat="false" ht="23.85" hidden="false" customHeight="false" outlineLevel="0" collapsed="false">
      <c r="A8" s="40"/>
      <c r="B8" s="32" t="s">
        <v>523</v>
      </c>
      <c r="C8" s="40" t="s">
        <v>517</v>
      </c>
      <c r="D8" s="39" t="s">
        <v>524</v>
      </c>
      <c r="E8" s="31" t="s">
        <v>525</v>
      </c>
    </row>
    <row r="10" customFormat="false" ht="21.75" hidden="false" customHeight="true" outlineLevel="0" collapsed="false">
      <c r="A10" s="3" t="s">
        <v>526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40"/>
      <c r="B11" s="32" t="s">
        <v>527</v>
      </c>
      <c r="C11" s="40" t="s">
        <v>528</v>
      </c>
      <c r="D11" s="39" t="s">
        <v>529</v>
      </c>
      <c r="E11" s="31" t="s">
        <v>530</v>
      </c>
    </row>
    <row r="12" customFormat="false" ht="15" hidden="false" customHeight="false" outlineLevel="0" collapsed="false">
      <c r="A12" s="40"/>
      <c r="B12" s="32" t="s">
        <v>531</v>
      </c>
      <c r="C12" s="40" t="s">
        <v>528</v>
      </c>
      <c r="D12" s="39" t="s">
        <v>532</v>
      </c>
      <c r="E12" s="32" t="s">
        <v>533</v>
      </c>
    </row>
    <row r="13" customFormat="false" ht="15" hidden="false" customHeight="false" outlineLevel="0" collapsed="false">
      <c r="A13" s="40"/>
      <c r="B13" s="32" t="s">
        <v>534</v>
      </c>
      <c r="C13" s="40" t="s">
        <v>528</v>
      </c>
      <c r="D13" s="39" t="s">
        <v>532</v>
      </c>
      <c r="E13" s="32" t="s">
        <v>535</v>
      </c>
    </row>
    <row r="14" customFormat="false" ht="15" hidden="false" customHeight="false" outlineLevel="0" collapsed="false">
      <c r="A14" s="40"/>
      <c r="B14" s="32" t="s">
        <v>536</v>
      </c>
      <c r="C14" s="40" t="s">
        <v>528</v>
      </c>
      <c r="D14" s="39" t="s">
        <v>532</v>
      </c>
      <c r="E14" s="32" t="s">
        <v>537</v>
      </c>
    </row>
    <row r="15" customFormat="false" ht="15" hidden="false" customHeight="true" outlineLevel="0" collapsed="false">
      <c r="A15" s="17" t="s">
        <v>538</v>
      </c>
      <c r="B15" s="17"/>
      <c r="C15" s="17"/>
      <c r="D15" s="17"/>
      <c r="E15" s="17"/>
      <c r="F15" s="17"/>
    </row>
    <row r="17" customFormat="false" ht="21.75" hidden="false" customHeight="true" outlineLevel="0" collapsed="false">
      <c r="A17" s="3" t="s">
        <v>539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26"/>
      <c r="B18" s="27" t="s">
        <v>540</v>
      </c>
      <c r="C18" s="27" t="s">
        <v>541</v>
      </c>
      <c r="D18" s="27" t="s">
        <v>407</v>
      </c>
      <c r="E18" s="27" t="s">
        <v>409</v>
      </c>
    </row>
    <row r="19" customFormat="false" ht="15" hidden="false" customHeight="false" outlineLevel="0" collapsed="false">
      <c r="A19" s="40"/>
      <c r="B19" s="40" t="s">
        <v>542</v>
      </c>
      <c r="C19" s="40" t="s">
        <v>543</v>
      </c>
      <c r="D19" s="40" t="s">
        <v>544</v>
      </c>
      <c r="E19" s="32" t="s">
        <v>545</v>
      </c>
    </row>
    <row r="20" customFormat="false" ht="15" hidden="false" customHeight="false" outlineLevel="0" collapsed="false">
      <c r="A20" s="40"/>
      <c r="B20" s="40" t="s">
        <v>546</v>
      </c>
      <c r="C20" s="40" t="s">
        <v>547</v>
      </c>
      <c r="D20" s="40" t="s">
        <v>548</v>
      </c>
      <c r="E20" s="32" t="s">
        <v>549</v>
      </c>
    </row>
    <row r="21" customFormat="false" ht="15" hidden="false" customHeight="false" outlineLevel="0" collapsed="false">
      <c r="A21" s="40"/>
      <c r="B21" s="40" t="s">
        <v>550</v>
      </c>
      <c r="C21" s="40" t="s">
        <v>551</v>
      </c>
      <c r="D21" s="40" t="s">
        <v>552</v>
      </c>
      <c r="E21" s="32" t="s">
        <v>553</v>
      </c>
    </row>
    <row r="22" customFormat="false" ht="15" hidden="false" customHeight="false" outlineLevel="0" collapsed="false">
      <c r="A22" s="40"/>
      <c r="B22" s="40" t="s">
        <v>554</v>
      </c>
      <c r="C22" s="40" t="s">
        <v>555</v>
      </c>
      <c r="D22" s="40" t="s">
        <v>556</v>
      </c>
      <c r="E22" s="31" t="s">
        <v>557</v>
      </c>
    </row>
    <row r="23" customFormat="false" ht="15" hidden="false" customHeight="false" outlineLevel="0" collapsed="false">
      <c r="A23" s="40"/>
      <c r="B23" s="40" t="s">
        <v>558</v>
      </c>
      <c r="C23" s="40" t="s">
        <v>559</v>
      </c>
      <c r="D23" s="39" t="s">
        <v>560</v>
      </c>
      <c r="E23" s="31" t="s">
        <v>561</v>
      </c>
    </row>
    <row r="24" customFormat="false" ht="15" hidden="false" customHeight="false" outlineLevel="0" collapsed="false">
      <c r="A24" s="40"/>
      <c r="B24" s="40" t="s">
        <v>562</v>
      </c>
      <c r="C24" s="40" t="s">
        <v>563</v>
      </c>
      <c r="D24" s="40" t="s">
        <v>564</v>
      </c>
      <c r="E24" s="32" t="s">
        <v>565</v>
      </c>
    </row>
    <row r="25" customFormat="false" ht="15" hidden="false" customHeight="false" outlineLevel="0" collapsed="false">
      <c r="A25" s="40"/>
      <c r="B25" s="40" t="s">
        <v>566</v>
      </c>
      <c r="C25" s="40" t="s">
        <v>567</v>
      </c>
      <c r="D25" s="40" t="s">
        <v>463</v>
      </c>
      <c r="E25" s="31" t="s">
        <v>568</v>
      </c>
    </row>
    <row r="26" customFormat="false" ht="15" hidden="false" customHeight="false" outlineLevel="0" collapsed="false">
      <c r="A26" s="40"/>
      <c r="B26" s="40" t="s">
        <v>569</v>
      </c>
      <c r="C26" s="40" t="s">
        <v>567</v>
      </c>
      <c r="D26" s="40" t="s">
        <v>463</v>
      </c>
      <c r="E26" s="32" t="s">
        <v>570</v>
      </c>
    </row>
    <row r="27" customFormat="false" ht="15" hidden="false" customHeight="false" outlineLevel="0" collapsed="false">
      <c r="A27" s="40"/>
      <c r="B27" s="40" t="s">
        <v>571</v>
      </c>
      <c r="C27" s="40" t="s">
        <v>567</v>
      </c>
      <c r="D27" s="40" t="s">
        <v>463</v>
      </c>
      <c r="E27" s="32" t="s">
        <v>572</v>
      </c>
    </row>
    <row r="28" customFormat="false" ht="15" hidden="false" customHeight="false" outlineLevel="0" collapsed="false">
      <c r="A28" s="40"/>
      <c r="B28" s="40" t="s">
        <v>573</v>
      </c>
      <c r="C28" s="40" t="s">
        <v>574</v>
      </c>
      <c r="D28" s="40" t="s">
        <v>575</v>
      </c>
      <c r="E28" s="31" t="s">
        <v>576</v>
      </c>
    </row>
    <row r="30" customFormat="false" ht="21.75" hidden="false" customHeight="true" outlineLevel="0" collapsed="false">
      <c r="A30" s="3" t="s">
        <v>577</v>
      </c>
      <c r="B30" s="3"/>
      <c r="C30" s="3"/>
      <c r="D30" s="3"/>
      <c r="E30" s="3"/>
      <c r="F30" s="3"/>
    </row>
    <row r="31" customFormat="false" ht="29.85" hidden="false" customHeight="false" outlineLevel="0" collapsed="false">
      <c r="A31" s="40"/>
      <c r="B31" s="40" t="s">
        <v>578</v>
      </c>
      <c r="C31" s="32" t="s">
        <v>579</v>
      </c>
      <c r="D31" s="32" t="s">
        <v>580</v>
      </c>
      <c r="E31" s="31" t="s">
        <v>581</v>
      </c>
    </row>
    <row r="32" customFormat="false" ht="35.05" hidden="false" customHeight="false" outlineLevel="0" collapsed="false">
      <c r="A32" s="40"/>
      <c r="B32" s="40" t="s">
        <v>582</v>
      </c>
      <c r="C32" s="32" t="s">
        <v>583</v>
      </c>
      <c r="D32" s="32" t="s">
        <v>584</v>
      </c>
      <c r="E32" s="31" t="s">
        <v>585</v>
      </c>
    </row>
    <row r="33" customFormat="false" ht="29.85" hidden="false" customHeight="false" outlineLevel="0" collapsed="false">
      <c r="A33" s="40"/>
      <c r="B33" s="40" t="s">
        <v>586</v>
      </c>
      <c r="C33" s="32" t="s">
        <v>587</v>
      </c>
      <c r="D33" s="31" t="s">
        <v>588</v>
      </c>
      <c r="E33" s="32" t="s">
        <v>589</v>
      </c>
    </row>
    <row r="34" customFormat="false" ht="29.85" hidden="false" customHeight="false" outlineLevel="0" collapsed="false">
      <c r="A34" s="40"/>
      <c r="B34" s="40" t="s">
        <v>590</v>
      </c>
      <c r="C34" s="32" t="s">
        <v>591</v>
      </c>
      <c r="D34" s="32" t="s">
        <v>592</v>
      </c>
      <c r="E34" s="32" t="s">
        <v>593</v>
      </c>
    </row>
    <row r="36" customFormat="false" ht="21.75" hidden="false" customHeight="true" outlineLevel="0" collapsed="false">
      <c r="A36" s="3" t="s">
        <v>594</v>
      </c>
      <c r="B36" s="3"/>
      <c r="C36" s="3"/>
      <c r="D36" s="3"/>
      <c r="E36" s="3"/>
      <c r="F36" s="3"/>
    </row>
    <row r="37" customFormat="false" ht="15" hidden="false" customHeight="false" outlineLevel="0" collapsed="false">
      <c r="A37" s="40"/>
      <c r="B37" s="32" t="s">
        <v>595</v>
      </c>
      <c r="C37" s="39" t="s">
        <v>596</v>
      </c>
      <c r="D37" s="40" t="s">
        <v>414</v>
      </c>
      <c r="E37" s="31" t="s">
        <v>597</v>
      </c>
    </row>
    <row r="38" customFormat="false" ht="15" hidden="false" customHeight="false" outlineLevel="0" collapsed="false">
      <c r="A38" s="40"/>
      <c r="B38" s="32" t="s">
        <v>598</v>
      </c>
      <c r="C38" s="39" t="s">
        <v>599</v>
      </c>
      <c r="D38" s="40" t="s">
        <v>600</v>
      </c>
      <c r="E38" s="31" t="s">
        <v>601</v>
      </c>
    </row>
    <row r="39" customFormat="false" ht="15" hidden="false" customHeight="false" outlineLevel="0" collapsed="false">
      <c r="A39" s="40"/>
      <c r="B39" s="32" t="s">
        <v>602</v>
      </c>
      <c r="C39" s="39" t="s">
        <v>603</v>
      </c>
      <c r="D39" s="40" t="s">
        <v>414</v>
      </c>
      <c r="E39" s="32" t="s">
        <v>604</v>
      </c>
    </row>
    <row r="40" customFormat="false" ht="15" hidden="false" customHeight="false" outlineLevel="0" collapsed="false">
      <c r="A40" s="40"/>
      <c r="B40" s="32" t="s">
        <v>605</v>
      </c>
      <c r="C40" s="39" t="s">
        <v>606</v>
      </c>
      <c r="D40" s="40" t="s">
        <v>414</v>
      </c>
      <c r="E40" s="32" t="s">
        <v>607</v>
      </c>
    </row>
    <row r="41" customFormat="false" ht="15" hidden="false" customHeight="false" outlineLevel="0" collapsed="false">
      <c r="A41" s="40"/>
      <c r="B41" s="32" t="s">
        <v>608</v>
      </c>
      <c r="C41" s="39" t="s">
        <v>609</v>
      </c>
      <c r="D41" s="40" t="s">
        <v>414</v>
      </c>
      <c r="E41" s="31" t="s">
        <v>610</v>
      </c>
    </row>
    <row r="42" customFormat="false" ht="23.85" hidden="false" customHeight="false" outlineLevel="0" collapsed="false">
      <c r="A42" s="40"/>
      <c r="B42" s="32" t="s">
        <v>611</v>
      </c>
      <c r="C42" s="39" t="s">
        <v>612</v>
      </c>
      <c r="D42" s="39" t="s">
        <v>613</v>
      </c>
      <c r="E42" s="31" t="s">
        <v>614</v>
      </c>
    </row>
    <row r="44" customFormat="false" ht="21.75" hidden="false" customHeight="true" outlineLevel="0" collapsed="false">
      <c r="A44" s="3" t="s">
        <v>615</v>
      </c>
      <c r="B44" s="3"/>
      <c r="C44" s="3"/>
      <c r="D44" s="3"/>
      <c r="E44" s="3"/>
      <c r="F44" s="3"/>
    </row>
    <row r="45" customFormat="false" ht="15" hidden="false" customHeight="false" outlineLevel="0" collapsed="false">
      <c r="A45" s="40"/>
      <c r="B45" s="40" t="s">
        <v>616</v>
      </c>
      <c r="C45" s="40" t="s">
        <v>617</v>
      </c>
      <c r="D45" s="39" t="s">
        <v>618</v>
      </c>
      <c r="E45" s="31" t="s">
        <v>619</v>
      </c>
    </row>
    <row r="46" customFormat="false" ht="15" hidden="false" customHeight="false" outlineLevel="0" collapsed="false">
      <c r="A46" s="40"/>
      <c r="B46" s="40" t="s">
        <v>620</v>
      </c>
      <c r="C46" s="40" t="s">
        <v>621</v>
      </c>
      <c r="D46" s="39" t="s">
        <v>618</v>
      </c>
      <c r="E46" s="32" t="s">
        <v>622</v>
      </c>
    </row>
    <row r="47" customFormat="false" ht="15" hidden="false" customHeight="false" outlineLevel="0" collapsed="false">
      <c r="A47" s="40"/>
      <c r="B47" s="40" t="s">
        <v>623</v>
      </c>
      <c r="C47" s="40" t="s">
        <v>624</v>
      </c>
      <c r="D47" s="39" t="s">
        <v>618</v>
      </c>
      <c r="E47" s="31" t="s">
        <v>625</v>
      </c>
    </row>
    <row r="48" customFormat="false" ht="15" hidden="false" customHeight="false" outlineLevel="0" collapsed="false">
      <c r="A48" s="40"/>
      <c r="B48" s="40" t="s">
        <v>626</v>
      </c>
      <c r="C48" s="40" t="s">
        <v>627</v>
      </c>
      <c r="D48" s="39" t="s">
        <v>618</v>
      </c>
      <c r="E48" s="32" t="s">
        <v>628</v>
      </c>
    </row>
    <row r="49" customFormat="false" ht="15" hidden="false" customHeight="true" outlineLevel="0" collapsed="false">
      <c r="A49" s="38" t="s">
        <v>629</v>
      </c>
      <c r="B49" s="38"/>
      <c r="C49" s="38"/>
      <c r="D49" s="38"/>
      <c r="E49" s="38"/>
      <c r="F49" s="38"/>
    </row>
  </sheetData>
  <mergeCells count="10">
    <mergeCell ref="A1:F1"/>
    <mergeCell ref="A2:F2"/>
    <mergeCell ref="A4:F4"/>
    <mergeCell ref="A10:F10"/>
    <mergeCell ref="A15:F15"/>
    <mergeCell ref="A17:F17"/>
    <mergeCell ref="A30:F30"/>
    <mergeCell ref="A36:F36"/>
    <mergeCell ref="A44:F44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A1:H1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8" min="7" style="0" width="11"/>
  </cols>
  <sheetData>
    <row r="1" customFormat="false" ht="30" hidden="false" customHeight="true" outlineLevel="0" collapsed="false">
      <c r="A1" s="1" t="s">
        <v>630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631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43" t="s">
        <v>632</v>
      </c>
      <c r="F3" s="44" t="n">
        <f aca="false">SUBTOTAL(109,$F$5:$F$175)</f>
        <v>81715</v>
      </c>
      <c r="G3" s="44" t="n">
        <f aca="false">SUBTOTAL(109,$G$5:$G$175)</f>
        <v>1662</v>
      </c>
      <c r="H3" s="45" t="n">
        <f aca="false">SUBTOTAL(109,$H$5:$H$175)</f>
        <v>1</v>
      </c>
    </row>
    <row r="4" customFormat="false" ht="31.5" hidden="false" customHeight="true" outlineLevel="0" collapsed="false">
      <c r="A4" s="27" t="s">
        <v>633</v>
      </c>
      <c r="B4" s="27" t="s">
        <v>634</v>
      </c>
      <c r="C4" s="27" t="s">
        <v>98</v>
      </c>
      <c r="D4" s="27" t="s">
        <v>100</v>
      </c>
      <c r="E4" s="27" t="s">
        <v>635</v>
      </c>
      <c r="F4" s="26" t="s">
        <v>636</v>
      </c>
      <c r="G4" s="26" t="s">
        <v>637</v>
      </c>
      <c r="H4" s="26" t="s">
        <v>638</v>
      </c>
    </row>
    <row r="5" customFormat="false" ht="15" hidden="false" customHeight="false" outlineLevel="0" collapsed="false">
      <c r="A5" s="46" t="s">
        <v>639</v>
      </c>
      <c r="B5" s="47" t="s">
        <v>640</v>
      </c>
      <c r="C5" s="46" t="s">
        <v>107</v>
      </c>
      <c r="D5" s="46" t="s">
        <v>110</v>
      </c>
      <c r="E5" s="48" t="s">
        <v>641</v>
      </c>
      <c r="F5" s="49" t="n">
        <v>164</v>
      </c>
      <c r="G5" s="49" t="n">
        <v>0</v>
      </c>
      <c r="H5" s="50" t="n">
        <f aca="false">IFERROR($F5/SUM($F$5:$F$175),"")</f>
        <v>0.00200697546350119</v>
      </c>
    </row>
    <row r="6" customFormat="false" ht="15" hidden="false" customHeight="false" outlineLevel="0" collapsed="false">
      <c r="A6" s="46" t="s">
        <v>639</v>
      </c>
      <c r="B6" s="47" t="s">
        <v>642</v>
      </c>
      <c r="C6" s="46" t="s">
        <v>107</v>
      </c>
      <c r="D6" s="46" t="s">
        <v>110</v>
      </c>
      <c r="E6" s="48" t="s">
        <v>643</v>
      </c>
      <c r="F6" s="49" t="n">
        <v>241</v>
      </c>
      <c r="G6" s="49" t="n">
        <v>29</v>
      </c>
      <c r="H6" s="50" t="n">
        <f aca="false">IFERROR($F6/SUM($F$5:$F$175),"")</f>
        <v>0.00294927491892553</v>
      </c>
    </row>
    <row r="7" customFormat="false" ht="15" hidden="false" customHeight="false" outlineLevel="0" collapsed="false">
      <c r="A7" s="46" t="s">
        <v>639</v>
      </c>
      <c r="B7" s="47" t="s">
        <v>644</v>
      </c>
      <c r="C7" s="46" t="s">
        <v>107</v>
      </c>
      <c r="D7" s="46" t="s">
        <v>110</v>
      </c>
      <c r="E7" s="48" t="s">
        <v>643</v>
      </c>
      <c r="F7" s="49" t="n">
        <v>71</v>
      </c>
      <c r="G7" s="49" t="n">
        <v>7</v>
      </c>
      <c r="H7" s="50" t="n">
        <f aca="false">IFERROR($F7/SUM($F$5:$F$175),"")</f>
        <v>0.000868873523832834</v>
      </c>
    </row>
    <row r="8" customFormat="false" ht="15" hidden="false" customHeight="false" outlineLevel="0" collapsed="false">
      <c r="A8" s="46" t="s">
        <v>639</v>
      </c>
      <c r="B8" s="47" t="s">
        <v>645</v>
      </c>
      <c r="C8" s="46" t="s">
        <v>107</v>
      </c>
      <c r="D8" s="46" t="s">
        <v>110</v>
      </c>
      <c r="E8" s="48" t="s">
        <v>641</v>
      </c>
      <c r="F8" s="49" t="n">
        <v>69</v>
      </c>
      <c r="G8" s="49" t="n">
        <v>0</v>
      </c>
      <c r="H8" s="50" t="n">
        <f aca="false">IFERROR($F8/SUM($F$5:$F$175),"")</f>
        <v>0.000844398213302331</v>
      </c>
    </row>
    <row r="9" customFormat="false" ht="15" hidden="false" customHeight="false" outlineLevel="0" collapsed="false">
      <c r="A9" s="46" t="s">
        <v>639</v>
      </c>
      <c r="B9" s="47" t="s">
        <v>646</v>
      </c>
      <c r="C9" s="46" t="s">
        <v>107</v>
      </c>
      <c r="D9" s="46" t="s">
        <v>110</v>
      </c>
      <c r="E9" s="48" t="s">
        <v>643</v>
      </c>
      <c r="F9" s="49" t="n">
        <v>103</v>
      </c>
      <c r="G9" s="49" t="n">
        <v>15</v>
      </c>
      <c r="H9" s="50" t="n">
        <f aca="false">IFERROR($F9/SUM($F$5:$F$175),"")</f>
        <v>0.00126047849232087</v>
      </c>
    </row>
    <row r="10" customFormat="false" ht="15" hidden="false" customHeight="false" outlineLevel="0" collapsed="false">
      <c r="A10" s="46" t="s">
        <v>639</v>
      </c>
      <c r="B10" s="47" t="s">
        <v>647</v>
      </c>
      <c r="C10" s="46" t="s">
        <v>107</v>
      </c>
      <c r="D10" s="46" t="s">
        <v>110</v>
      </c>
      <c r="E10" s="48" t="s">
        <v>641</v>
      </c>
      <c r="F10" s="49" t="n">
        <v>140</v>
      </c>
      <c r="G10" s="49" t="n">
        <v>0</v>
      </c>
      <c r="H10" s="50" t="n">
        <f aca="false">IFERROR($F10/SUM($F$5:$F$175),"")</f>
        <v>0.00171327173713517</v>
      </c>
    </row>
    <row r="11" customFormat="false" ht="15" hidden="false" customHeight="false" outlineLevel="0" collapsed="false">
      <c r="A11" s="46" t="s">
        <v>639</v>
      </c>
      <c r="B11" s="47" t="s">
        <v>648</v>
      </c>
      <c r="C11" s="46" t="s">
        <v>107</v>
      </c>
      <c r="D11" s="46" t="s">
        <v>110</v>
      </c>
      <c r="E11" s="48" t="s">
        <v>643</v>
      </c>
      <c r="F11" s="49" t="n">
        <v>208</v>
      </c>
      <c r="G11" s="49" t="n">
        <v>15</v>
      </c>
      <c r="H11" s="50" t="n">
        <f aca="false">IFERROR($F11/SUM($F$5:$F$175),"")</f>
        <v>0.00254543229517225</v>
      </c>
    </row>
    <row r="12" customFormat="false" ht="15" hidden="false" customHeight="false" outlineLevel="0" collapsed="false">
      <c r="A12" s="46" t="s">
        <v>639</v>
      </c>
      <c r="B12" s="47" t="s">
        <v>649</v>
      </c>
      <c r="C12" s="46" t="s">
        <v>107</v>
      </c>
      <c r="D12" s="46" t="s">
        <v>110</v>
      </c>
      <c r="E12" s="48" t="s">
        <v>643</v>
      </c>
      <c r="F12" s="49" t="n">
        <v>53</v>
      </c>
      <c r="G12" s="49" t="n">
        <v>4</v>
      </c>
      <c r="H12" s="50" t="n">
        <f aca="false">IFERROR($F12/SUM($F$5:$F$175),"")</f>
        <v>0.000648595729058312</v>
      </c>
    </row>
    <row r="13" customFormat="false" ht="15" hidden="false" customHeight="false" outlineLevel="0" collapsed="false">
      <c r="A13" s="46" t="s">
        <v>639</v>
      </c>
      <c r="B13" s="47" t="s">
        <v>650</v>
      </c>
      <c r="C13" s="46" t="s">
        <v>107</v>
      </c>
      <c r="D13" s="46" t="s">
        <v>110</v>
      </c>
      <c r="E13" s="48" t="s">
        <v>641</v>
      </c>
      <c r="F13" s="49" t="n">
        <v>175</v>
      </c>
      <c r="G13" s="49" t="n">
        <v>0</v>
      </c>
      <c r="H13" s="50" t="n">
        <f aca="false">IFERROR($F13/SUM($F$5:$F$175),"")</f>
        <v>0.00214158967141896</v>
      </c>
    </row>
    <row r="14" customFormat="false" ht="15" hidden="false" customHeight="false" outlineLevel="0" collapsed="false">
      <c r="A14" s="46" t="s">
        <v>639</v>
      </c>
      <c r="B14" s="47" t="s">
        <v>651</v>
      </c>
      <c r="C14" s="46" t="s">
        <v>107</v>
      </c>
      <c r="D14" s="46" t="s">
        <v>110</v>
      </c>
      <c r="E14" s="48" t="s">
        <v>643</v>
      </c>
      <c r="F14" s="49" t="n">
        <v>283</v>
      </c>
      <c r="G14" s="49" t="n">
        <v>12</v>
      </c>
      <c r="H14" s="50" t="n">
        <f aca="false">IFERROR($F14/SUM($F$5:$F$175),"")</f>
        <v>0.00346325644006608</v>
      </c>
    </row>
    <row r="15" customFormat="false" ht="15" hidden="false" customHeight="false" outlineLevel="0" collapsed="false">
      <c r="A15" s="46" t="s">
        <v>639</v>
      </c>
      <c r="B15" s="47" t="s">
        <v>652</v>
      </c>
      <c r="C15" s="46" t="s">
        <v>107</v>
      </c>
      <c r="D15" s="46" t="s">
        <v>110</v>
      </c>
      <c r="E15" s="48" t="s">
        <v>641</v>
      </c>
      <c r="F15" s="49" t="n">
        <v>428</v>
      </c>
      <c r="G15" s="49" t="n">
        <v>0</v>
      </c>
      <c r="H15" s="50" t="n">
        <f aca="false">IFERROR($F15/SUM($F$5:$F$175),"")</f>
        <v>0.0052377164535275</v>
      </c>
    </row>
    <row r="16" customFormat="false" ht="15" hidden="false" customHeight="false" outlineLevel="0" collapsed="false">
      <c r="A16" s="46" t="s">
        <v>639</v>
      </c>
      <c r="B16" s="47" t="s">
        <v>653</v>
      </c>
      <c r="C16" s="46" t="s">
        <v>107</v>
      </c>
      <c r="D16" s="46" t="s">
        <v>110</v>
      </c>
      <c r="E16" s="48" t="s">
        <v>643</v>
      </c>
      <c r="F16" s="49" t="n">
        <v>337</v>
      </c>
      <c r="G16" s="49" t="n">
        <v>21</v>
      </c>
      <c r="H16" s="50" t="n">
        <f aca="false">IFERROR($F16/SUM($F$5:$F$175),"")</f>
        <v>0.00412408982438965</v>
      </c>
    </row>
    <row r="17" customFormat="false" ht="15" hidden="false" customHeight="false" outlineLevel="0" collapsed="false">
      <c r="A17" s="46" t="s">
        <v>639</v>
      </c>
      <c r="B17" s="47" t="s">
        <v>654</v>
      </c>
      <c r="C17" s="46" t="s">
        <v>107</v>
      </c>
      <c r="D17" s="46" t="s">
        <v>110</v>
      </c>
      <c r="E17" s="48" t="s">
        <v>643</v>
      </c>
      <c r="F17" s="49" t="n">
        <v>910</v>
      </c>
      <c r="G17" s="49" t="n">
        <v>19</v>
      </c>
      <c r="H17" s="50" t="n">
        <f aca="false">IFERROR($F17/SUM($F$5:$F$175),"")</f>
        <v>0.0111362662913786</v>
      </c>
    </row>
    <row r="18" customFormat="false" ht="15" hidden="false" customHeight="false" outlineLevel="0" collapsed="false">
      <c r="A18" s="46" t="s">
        <v>639</v>
      </c>
      <c r="B18" s="47" t="s">
        <v>655</v>
      </c>
      <c r="C18" s="46" t="s">
        <v>107</v>
      </c>
      <c r="D18" s="46" t="s">
        <v>110</v>
      </c>
      <c r="E18" s="48" t="s">
        <v>643</v>
      </c>
      <c r="F18" s="49" t="n">
        <v>422</v>
      </c>
      <c r="G18" s="49" t="n">
        <v>23</v>
      </c>
      <c r="H18" s="50" t="n">
        <f aca="false">IFERROR($F18/SUM($F$5:$F$175),"")</f>
        <v>0.005164290521936</v>
      </c>
    </row>
    <row r="19" customFormat="false" ht="15" hidden="false" customHeight="false" outlineLevel="0" collapsed="false">
      <c r="A19" s="46" t="s">
        <v>639</v>
      </c>
      <c r="B19" s="47" t="s">
        <v>656</v>
      </c>
      <c r="C19" s="46" t="s">
        <v>107</v>
      </c>
      <c r="D19" s="46" t="s">
        <v>110</v>
      </c>
      <c r="E19" s="48" t="s">
        <v>643</v>
      </c>
      <c r="F19" s="49" t="n">
        <v>118</v>
      </c>
      <c r="G19" s="49" t="n">
        <v>6</v>
      </c>
      <c r="H19" s="50" t="n">
        <f aca="false">IFERROR($F19/SUM($F$5:$F$175),"")</f>
        <v>0.00144404332129964</v>
      </c>
    </row>
    <row r="20" customFormat="false" ht="15" hidden="false" customHeight="false" outlineLevel="0" collapsed="false">
      <c r="A20" s="46" t="s">
        <v>639</v>
      </c>
      <c r="B20" s="47" t="s">
        <v>657</v>
      </c>
      <c r="C20" s="46" t="s">
        <v>107</v>
      </c>
      <c r="D20" s="46" t="s">
        <v>110</v>
      </c>
      <c r="E20" s="48" t="s">
        <v>641</v>
      </c>
      <c r="F20" s="49" t="n">
        <v>245</v>
      </c>
      <c r="G20" s="49" t="n">
        <v>0</v>
      </c>
      <c r="H20" s="50" t="n">
        <f aca="false">IFERROR($F20/SUM($F$5:$F$175),"")</f>
        <v>0.00299822553998654</v>
      </c>
    </row>
    <row r="21" customFormat="false" ht="15" hidden="false" customHeight="false" outlineLevel="0" collapsed="false">
      <c r="A21" s="46" t="s">
        <v>639</v>
      </c>
      <c r="B21" s="47" t="s">
        <v>658</v>
      </c>
      <c r="C21" s="46" t="s">
        <v>107</v>
      </c>
      <c r="D21" s="46" t="s">
        <v>110</v>
      </c>
      <c r="E21" s="48" t="s">
        <v>643</v>
      </c>
      <c r="F21" s="49" t="n">
        <v>70</v>
      </c>
      <c r="G21" s="49" t="n">
        <v>2</v>
      </c>
      <c r="H21" s="50" t="n">
        <f aca="false">IFERROR($F21/SUM($F$5:$F$175),"")</f>
        <v>0.000856635868567583</v>
      </c>
    </row>
    <row r="22" customFormat="false" ht="15" hidden="false" customHeight="false" outlineLevel="0" collapsed="false">
      <c r="A22" s="46" t="s">
        <v>639</v>
      </c>
      <c r="B22" s="47" t="s">
        <v>659</v>
      </c>
      <c r="C22" s="46" t="s">
        <v>107</v>
      </c>
      <c r="D22" s="46" t="s">
        <v>110</v>
      </c>
      <c r="E22" s="48" t="s">
        <v>641</v>
      </c>
      <c r="F22" s="49" t="n">
        <v>252</v>
      </c>
      <c r="G22" s="49" t="n">
        <v>0</v>
      </c>
      <c r="H22" s="50" t="n">
        <f aca="false">IFERROR($F22/SUM($F$5:$F$175),"")</f>
        <v>0.0030838891268433</v>
      </c>
    </row>
    <row r="23" customFormat="false" ht="15" hidden="false" customHeight="false" outlineLevel="0" collapsed="false">
      <c r="A23" s="46" t="s">
        <v>639</v>
      </c>
      <c r="B23" s="47" t="s">
        <v>660</v>
      </c>
      <c r="C23" s="46" t="s">
        <v>107</v>
      </c>
      <c r="D23" s="46" t="s">
        <v>110</v>
      </c>
      <c r="E23" s="48" t="s">
        <v>643</v>
      </c>
      <c r="F23" s="49" t="n">
        <v>248</v>
      </c>
      <c r="G23" s="49" t="n">
        <v>22</v>
      </c>
      <c r="H23" s="50" t="n">
        <f aca="false">IFERROR($F23/SUM($F$5:$F$175),"")</f>
        <v>0.00303493850578229</v>
      </c>
    </row>
    <row r="24" customFormat="false" ht="15" hidden="false" customHeight="false" outlineLevel="0" collapsed="false">
      <c r="A24" s="46" t="s">
        <v>639</v>
      </c>
      <c r="B24" s="47" t="s">
        <v>661</v>
      </c>
      <c r="C24" s="46" t="s">
        <v>107</v>
      </c>
      <c r="D24" s="46" t="s">
        <v>110</v>
      </c>
      <c r="E24" s="48" t="s">
        <v>641</v>
      </c>
      <c r="F24" s="49" t="n">
        <v>261</v>
      </c>
      <c r="G24" s="49" t="n">
        <v>6</v>
      </c>
      <c r="H24" s="50" t="n">
        <f aca="false">IFERROR($F24/SUM($F$5:$F$175),"")</f>
        <v>0.00319402802423056</v>
      </c>
    </row>
    <row r="25" customFormat="false" ht="15" hidden="false" customHeight="false" outlineLevel="0" collapsed="false">
      <c r="A25" s="46" t="s">
        <v>639</v>
      </c>
      <c r="B25" s="47" t="s">
        <v>662</v>
      </c>
      <c r="C25" s="46" t="s">
        <v>107</v>
      </c>
      <c r="D25" s="46" t="s">
        <v>110</v>
      </c>
      <c r="E25" s="48" t="s">
        <v>643</v>
      </c>
      <c r="F25" s="49" t="n">
        <v>185</v>
      </c>
      <c r="G25" s="49" t="n">
        <v>12</v>
      </c>
      <c r="H25" s="50" t="n">
        <f aca="false">IFERROR($F25/SUM($F$5:$F$175),"")</f>
        <v>0.00226396622407147</v>
      </c>
    </row>
    <row r="26" customFormat="false" ht="15" hidden="false" customHeight="false" outlineLevel="0" collapsed="false">
      <c r="A26" s="46" t="s">
        <v>639</v>
      </c>
      <c r="B26" s="47" t="s">
        <v>663</v>
      </c>
      <c r="C26" s="46" t="s">
        <v>111</v>
      </c>
      <c r="D26" s="46" t="s">
        <v>110</v>
      </c>
      <c r="E26" s="48" t="s">
        <v>643</v>
      </c>
      <c r="F26" s="49" t="n">
        <v>230</v>
      </c>
      <c r="G26" s="49" t="n">
        <v>1</v>
      </c>
      <c r="H26" s="50" t="n">
        <f aca="false">IFERROR($F26/SUM($F$5:$F$175),"")</f>
        <v>0.00281466071100777</v>
      </c>
    </row>
    <row r="27" customFormat="false" ht="15" hidden="false" customHeight="false" outlineLevel="0" collapsed="false">
      <c r="A27" s="46" t="s">
        <v>639</v>
      </c>
      <c r="B27" s="47" t="s">
        <v>664</v>
      </c>
      <c r="C27" s="46" t="s">
        <v>111</v>
      </c>
      <c r="D27" s="46" t="s">
        <v>110</v>
      </c>
      <c r="E27" s="48" t="s">
        <v>643</v>
      </c>
      <c r="F27" s="49" t="n">
        <v>1172</v>
      </c>
      <c r="G27" s="49" t="n">
        <v>13</v>
      </c>
      <c r="H27" s="50" t="n">
        <f aca="false">IFERROR($F27/SUM($F$5:$F$175),"")</f>
        <v>0.0143425319708744</v>
      </c>
    </row>
    <row r="28" customFormat="false" ht="15" hidden="false" customHeight="false" outlineLevel="0" collapsed="false">
      <c r="A28" s="46" t="s">
        <v>639</v>
      </c>
      <c r="B28" s="47" t="s">
        <v>665</v>
      </c>
      <c r="C28" s="46" t="s">
        <v>111</v>
      </c>
      <c r="D28" s="46" t="s">
        <v>110</v>
      </c>
      <c r="E28" s="48" t="s">
        <v>643</v>
      </c>
      <c r="F28" s="49" t="n">
        <v>1545</v>
      </c>
      <c r="G28" s="49" t="n">
        <v>59</v>
      </c>
      <c r="H28" s="50" t="n">
        <f aca="false">IFERROR($F28/SUM($F$5:$F$175),"")</f>
        <v>0.0189071773848131</v>
      </c>
    </row>
    <row r="29" customFormat="false" ht="15" hidden="false" customHeight="false" outlineLevel="0" collapsed="false">
      <c r="A29" s="46" t="s">
        <v>639</v>
      </c>
      <c r="B29" s="47" t="s">
        <v>666</v>
      </c>
      <c r="C29" s="46" t="s">
        <v>111</v>
      </c>
      <c r="D29" s="46" t="s">
        <v>110</v>
      </c>
      <c r="E29" s="48" t="s">
        <v>643</v>
      </c>
      <c r="F29" s="49" t="n">
        <v>123</v>
      </c>
      <c r="G29" s="49" t="n">
        <v>7</v>
      </c>
      <c r="H29" s="50" t="n">
        <f aca="false">IFERROR($F29/SUM($F$5:$F$175),"")</f>
        <v>0.00150523159762589</v>
      </c>
    </row>
    <row r="30" customFormat="false" ht="15" hidden="false" customHeight="false" outlineLevel="0" collapsed="false">
      <c r="A30" s="46" t="s">
        <v>639</v>
      </c>
      <c r="B30" s="47" t="s">
        <v>667</v>
      </c>
      <c r="C30" s="46" t="s">
        <v>111</v>
      </c>
      <c r="D30" s="46" t="s">
        <v>110</v>
      </c>
      <c r="E30" s="48" t="s">
        <v>643</v>
      </c>
      <c r="F30" s="49" t="n">
        <v>714</v>
      </c>
      <c r="G30" s="49" t="n">
        <v>14</v>
      </c>
      <c r="H30" s="50" t="n">
        <f aca="false">IFERROR($F30/SUM($F$5:$F$175),"")</f>
        <v>0.00873768585938934</v>
      </c>
    </row>
    <row r="31" customFormat="false" ht="15" hidden="false" customHeight="false" outlineLevel="0" collapsed="false">
      <c r="A31" s="46" t="s">
        <v>639</v>
      </c>
      <c r="B31" s="47" t="s">
        <v>668</v>
      </c>
      <c r="C31" s="46" t="s">
        <v>111</v>
      </c>
      <c r="D31" s="46" t="s">
        <v>110</v>
      </c>
      <c r="E31" s="48" t="s">
        <v>643</v>
      </c>
      <c r="F31" s="49" t="n">
        <v>516</v>
      </c>
      <c r="G31" s="49" t="n">
        <v>24</v>
      </c>
      <c r="H31" s="50" t="n">
        <f aca="false">IFERROR($F31/SUM($F$5:$F$175),"")</f>
        <v>0.00631463011686961</v>
      </c>
    </row>
    <row r="32" customFormat="false" ht="15" hidden="false" customHeight="false" outlineLevel="0" collapsed="false">
      <c r="A32" s="46" t="s">
        <v>639</v>
      </c>
      <c r="B32" s="47" t="s">
        <v>669</v>
      </c>
      <c r="C32" s="46" t="s">
        <v>111</v>
      </c>
      <c r="D32" s="46" t="s">
        <v>110</v>
      </c>
      <c r="E32" s="48" t="s">
        <v>643</v>
      </c>
      <c r="F32" s="49" t="n">
        <v>392</v>
      </c>
      <c r="G32" s="49" t="n">
        <v>4</v>
      </c>
      <c r="H32" s="50" t="n">
        <f aca="false">IFERROR($F32/SUM($F$5:$F$175),"")</f>
        <v>0.00479716086397846</v>
      </c>
    </row>
    <row r="33" customFormat="false" ht="15" hidden="false" customHeight="false" outlineLevel="0" collapsed="false">
      <c r="A33" s="46" t="s">
        <v>639</v>
      </c>
      <c r="B33" s="47" t="s">
        <v>670</v>
      </c>
      <c r="C33" s="46" t="s">
        <v>111</v>
      </c>
      <c r="D33" s="46" t="s">
        <v>110</v>
      </c>
      <c r="E33" s="48" t="s">
        <v>643</v>
      </c>
      <c r="F33" s="49" t="n">
        <v>866</v>
      </c>
      <c r="G33" s="49" t="n">
        <v>36</v>
      </c>
      <c r="H33" s="50" t="n">
        <f aca="false">IFERROR($F33/SUM($F$5:$F$175),"")</f>
        <v>0.0105978094597075</v>
      </c>
    </row>
    <row r="34" customFormat="false" ht="15" hidden="false" customHeight="false" outlineLevel="0" collapsed="false">
      <c r="A34" s="46" t="s">
        <v>639</v>
      </c>
      <c r="B34" s="47" t="s">
        <v>671</v>
      </c>
      <c r="C34" s="46" t="s">
        <v>109</v>
      </c>
      <c r="D34" s="46" t="s">
        <v>110</v>
      </c>
      <c r="E34" s="48" t="s">
        <v>641</v>
      </c>
      <c r="F34" s="49" t="n">
        <v>200</v>
      </c>
      <c r="G34" s="49" t="n">
        <v>0</v>
      </c>
      <c r="H34" s="50" t="n">
        <f aca="false">IFERROR($F34/SUM($F$5:$F$175),"")</f>
        <v>0.00244753105305024</v>
      </c>
    </row>
    <row r="35" customFormat="false" ht="15" hidden="false" customHeight="false" outlineLevel="0" collapsed="false">
      <c r="A35" s="46" t="s">
        <v>639</v>
      </c>
      <c r="B35" s="47" t="s">
        <v>672</v>
      </c>
      <c r="C35" s="46" t="s">
        <v>109</v>
      </c>
      <c r="D35" s="46" t="s">
        <v>110</v>
      </c>
      <c r="E35" s="48" t="s">
        <v>643</v>
      </c>
      <c r="F35" s="49" t="n">
        <v>39</v>
      </c>
      <c r="G35" s="49" t="n">
        <v>4</v>
      </c>
      <c r="H35" s="50" t="n">
        <f aca="false">IFERROR($F35/SUM($F$5:$F$175),"")</f>
        <v>0.000477268555344796</v>
      </c>
    </row>
    <row r="36" customFormat="false" ht="15" hidden="false" customHeight="false" outlineLevel="0" collapsed="false">
      <c r="A36" s="46" t="s">
        <v>639</v>
      </c>
      <c r="B36" s="47" t="s">
        <v>673</v>
      </c>
      <c r="C36" s="46" t="s">
        <v>109</v>
      </c>
      <c r="D36" s="46" t="s">
        <v>110</v>
      </c>
      <c r="E36" s="48" t="s">
        <v>641</v>
      </c>
      <c r="F36" s="49" t="n">
        <v>628</v>
      </c>
      <c r="G36" s="49" t="n">
        <v>0</v>
      </c>
      <c r="H36" s="50" t="n">
        <f aca="false">IFERROR($F36/SUM($F$5:$F$175),"")</f>
        <v>0.00768524750657774</v>
      </c>
    </row>
    <row r="37" customFormat="false" ht="15" hidden="false" customHeight="false" outlineLevel="0" collapsed="false">
      <c r="A37" s="46" t="s">
        <v>639</v>
      </c>
      <c r="B37" s="47" t="s">
        <v>674</v>
      </c>
      <c r="C37" s="46" t="s">
        <v>109</v>
      </c>
      <c r="D37" s="46" t="s">
        <v>110</v>
      </c>
      <c r="E37" s="48" t="s">
        <v>643</v>
      </c>
      <c r="F37" s="49" t="n">
        <v>238</v>
      </c>
      <c r="G37" s="49" t="n">
        <v>8</v>
      </c>
      <c r="H37" s="50" t="n">
        <f aca="false">IFERROR($F37/SUM($F$5:$F$175),"")</f>
        <v>0.00291256195312978</v>
      </c>
    </row>
    <row r="38" customFormat="false" ht="15" hidden="false" customHeight="false" outlineLevel="0" collapsed="false">
      <c r="A38" s="46" t="s">
        <v>639</v>
      </c>
      <c r="B38" s="47" t="s">
        <v>675</v>
      </c>
      <c r="C38" s="46" t="s">
        <v>109</v>
      </c>
      <c r="D38" s="46" t="s">
        <v>110</v>
      </c>
      <c r="E38" s="48" t="s">
        <v>641</v>
      </c>
      <c r="F38" s="49" t="n">
        <v>78</v>
      </c>
      <c r="G38" s="49" t="n">
        <v>0</v>
      </c>
      <c r="H38" s="50" t="n">
        <f aca="false">IFERROR($F38/SUM($F$5:$F$175),"")</f>
        <v>0.000954537110689592</v>
      </c>
    </row>
    <row r="39" customFormat="false" ht="15" hidden="false" customHeight="false" outlineLevel="0" collapsed="false">
      <c r="A39" s="46" t="s">
        <v>639</v>
      </c>
      <c r="B39" s="47" t="s">
        <v>676</v>
      </c>
      <c r="C39" s="46" t="s">
        <v>109</v>
      </c>
      <c r="D39" s="46" t="s">
        <v>110</v>
      </c>
      <c r="E39" s="48" t="s">
        <v>643</v>
      </c>
      <c r="F39" s="49" t="n">
        <v>166</v>
      </c>
      <c r="G39" s="49" t="n">
        <v>7</v>
      </c>
      <c r="H39" s="50" t="n">
        <f aca="false">IFERROR($F39/SUM($F$5:$F$175),"")</f>
        <v>0.0020314507740317</v>
      </c>
    </row>
    <row r="40" customFormat="false" ht="15" hidden="false" customHeight="false" outlineLevel="0" collapsed="false">
      <c r="A40" s="46" t="s">
        <v>639</v>
      </c>
      <c r="B40" s="47" t="s">
        <v>677</v>
      </c>
      <c r="C40" s="46" t="s">
        <v>109</v>
      </c>
      <c r="D40" s="46" t="s">
        <v>110</v>
      </c>
      <c r="E40" s="48" t="s">
        <v>641</v>
      </c>
      <c r="F40" s="49" t="n">
        <v>278</v>
      </c>
      <c r="G40" s="49" t="n">
        <v>0</v>
      </c>
      <c r="H40" s="50" t="n">
        <f aca="false">IFERROR($F40/SUM($F$5:$F$175),"")</f>
        <v>0.00340206816373983</v>
      </c>
    </row>
    <row r="41" customFormat="false" ht="15" hidden="false" customHeight="false" outlineLevel="0" collapsed="false">
      <c r="A41" s="46" t="s">
        <v>639</v>
      </c>
      <c r="B41" s="47" t="s">
        <v>678</v>
      </c>
      <c r="C41" s="46" t="s">
        <v>109</v>
      </c>
      <c r="D41" s="46" t="s">
        <v>110</v>
      </c>
      <c r="E41" s="48" t="s">
        <v>643</v>
      </c>
      <c r="F41" s="49" t="n">
        <v>287</v>
      </c>
      <c r="G41" s="49" t="n">
        <v>13</v>
      </c>
      <c r="H41" s="50" t="n">
        <f aca="false">IFERROR($F41/SUM($F$5:$F$175),"")</f>
        <v>0.00351220706112709</v>
      </c>
    </row>
    <row r="42" customFormat="false" ht="15" hidden="false" customHeight="false" outlineLevel="0" collapsed="false">
      <c r="A42" s="46" t="s">
        <v>639</v>
      </c>
      <c r="B42" s="47" t="s">
        <v>679</v>
      </c>
      <c r="C42" s="46" t="s">
        <v>103</v>
      </c>
      <c r="D42" s="46" t="s">
        <v>110</v>
      </c>
      <c r="E42" s="48" t="s">
        <v>641</v>
      </c>
      <c r="F42" s="49" t="n">
        <v>392</v>
      </c>
      <c r="G42" s="49" t="n">
        <v>0</v>
      </c>
      <c r="H42" s="50" t="n">
        <f aca="false">IFERROR($F42/SUM($F$5:$F$175),"")</f>
        <v>0.00479716086397846</v>
      </c>
    </row>
    <row r="43" customFormat="false" ht="15" hidden="false" customHeight="false" outlineLevel="0" collapsed="false">
      <c r="A43" s="46" t="s">
        <v>639</v>
      </c>
      <c r="B43" s="47" t="s">
        <v>680</v>
      </c>
      <c r="C43" s="46" t="s">
        <v>103</v>
      </c>
      <c r="D43" s="46" t="s">
        <v>110</v>
      </c>
      <c r="E43" s="48" t="s">
        <v>643</v>
      </c>
      <c r="F43" s="49" t="n">
        <v>200</v>
      </c>
      <c r="G43" s="49" t="n">
        <v>6</v>
      </c>
      <c r="H43" s="50" t="n">
        <f aca="false">IFERROR($F43/SUM($F$5:$F$175),"")</f>
        <v>0.00244753105305024</v>
      </c>
    </row>
    <row r="44" customFormat="false" ht="15" hidden="false" customHeight="false" outlineLevel="0" collapsed="false">
      <c r="A44" s="46" t="s">
        <v>639</v>
      </c>
      <c r="B44" s="47" t="s">
        <v>681</v>
      </c>
      <c r="C44" s="46" t="s">
        <v>103</v>
      </c>
      <c r="D44" s="46" t="s">
        <v>110</v>
      </c>
      <c r="E44" s="48" t="s">
        <v>641</v>
      </c>
      <c r="F44" s="49" t="n">
        <v>767</v>
      </c>
      <c r="G44" s="49" t="n">
        <v>0</v>
      </c>
      <c r="H44" s="50" t="n">
        <f aca="false">IFERROR($F44/SUM($F$5:$F$175),"")</f>
        <v>0.00938628158844765</v>
      </c>
    </row>
    <row r="45" customFormat="false" ht="15" hidden="false" customHeight="false" outlineLevel="0" collapsed="false">
      <c r="A45" s="46" t="s">
        <v>639</v>
      </c>
      <c r="B45" s="47" t="s">
        <v>682</v>
      </c>
      <c r="C45" s="46" t="s">
        <v>103</v>
      </c>
      <c r="D45" s="46" t="s">
        <v>110</v>
      </c>
      <c r="E45" s="48" t="s">
        <v>643</v>
      </c>
      <c r="F45" s="49" t="n">
        <v>51</v>
      </c>
      <c r="G45" s="49" t="n">
        <v>5</v>
      </c>
      <c r="H45" s="50" t="n">
        <f aca="false">IFERROR($F45/SUM($F$5:$F$175),"")</f>
        <v>0.00062412041852781</v>
      </c>
    </row>
    <row r="46" customFormat="false" ht="15" hidden="false" customHeight="false" outlineLevel="0" collapsed="false">
      <c r="A46" s="46" t="s">
        <v>639</v>
      </c>
      <c r="B46" s="47" t="s">
        <v>683</v>
      </c>
      <c r="C46" s="46" t="s">
        <v>103</v>
      </c>
      <c r="D46" s="46" t="s">
        <v>104</v>
      </c>
      <c r="E46" s="48" t="s">
        <v>641</v>
      </c>
      <c r="F46" s="49" t="n">
        <v>1069</v>
      </c>
      <c r="G46" s="49" t="n">
        <v>0</v>
      </c>
      <c r="H46" s="50" t="n">
        <f aca="false">IFERROR($F46/SUM($F$5:$F$175),"")</f>
        <v>0.0130820534785535</v>
      </c>
    </row>
    <row r="47" customFormat="false" ht="15" hidden="false" customHeight="false" outlineLevel="0" collapsed="false">
      <c r="A47" s="46" t="s">
        <v>639</v>
      </c>
      <c r="B47" s="47" t="s">
        <v>684</v>
      </c>
      <c r="C47" s="46" t="s">
        <v>103</v>
      </c>
      <c r="D47" s="46" t="s">
        <v>104</v>
      </c>
      <c r="E47" s="48" t="s">
        <v>641</v>
      </c>
      <c r="F47" s="49" t="n">
        <v>66</v>
      </c>
      <c r="G47" s="49" t="n">
        <v>0</v>
      </c>
      <c r="H47" s="50" t="n">
        <f aca="false">IFERROR($F47/SUM($F$5:$F$175),"")</f>
        <v>0.000807685247506578</v>
      </c>
    </row>
    <row r="48" customFormat="false" ht="15" hidden="false" customHeight="false" outlineLevel="0" collapsed="false">
      <c r="A48" s="46" t="s">
        <v>639</v>
      </c>
      <c r="B48" s="47" t="s">
        <v>685</v>
      </c>
      <c r="C48" s="46" t="s">
        <v>103</v>
      </c>
      <c r="D48" s="46" t="s">
        <v>104</v>
      </c>
      <c r="E48" s="48" t="s">
        <v>641</v>
      </c>
      <c r="F48" s="49" t="n">
        <v>52</v>
      </c>
      <c r="G48" s="49" t="n">
        <v>0</v>
      </c>
      <c r="H48" s="50" t="n">
        <f aca="false">IFERROR($F48/SUM($F$5:$F$175),"")</f>
        <v>0.000636358073793061</v>
      </c>
    </row>
    <row r="49" customFormat="false" ht="15" hidden="false" customHeight="false" outlineLevel="0" collapsed="false">
      <c r="A49" s="46" t="s">
        <v>639</v>
      </c>
      <c r="B49" s="47" t="s">
        <v>172</v>
      </c>
      <c r="C49" s="46" t="s">
        <v>103</v>
      </c>
      <c r="D49" s="46" t="s">
        <v>104</v>
      </c>
      <c r="E49" s="48" t="s">
        <v>641</v>
      </c>
      <c r="F49" s="49" t="n">
        <v>149</v>
      </c>
      <c r="G49" s="49" t="n">
        <v>0</v>
      </c>
      <c r="H49" s="50" t="n">
        <f aca="false">IFERROR($F49/SUM($F$5:$F$175),"")</f>
        <v>0.00182341063452243</v>
      </c>
    </row>
    <row r="50" customFormat="false" ht="15" hidden="false" customHeight="false" outlineLevel="0" collapsed="false">
      <c r="A50" s="46" t="s">
        <v>639</v>
      </c>
      <c r="B50" s="47" t="s">
        <v>686</v>
      </c>
      <c r="C50" s="46" t="s">
        <v>103</v>
      </c>
      <c r="D50" s="46" t="s">
        <v>104</v>
      </c>
      <c r="E50" s="48" t="s">
        <v>641</v>
      </c>
      <c r="F50" s="49" t="n">
        <v>122</v>
      </c>
      <c r="G50" s="49" t="n">
        <v>0</v>
      </c>
      <c r="H50" s="50" t="n">
        <f aca="false">IFERROR($F50/SUM($F$5:$F$175),"")</f>
        <v>0.00149299394236064</v>
      </c>
    </row>
    <row r="51" customFormat="false" ht="15" hidden="false" customHeight="false" outlineLevel="0" collapsed="false">
      <c r="A51" s="46" t="s">
        <v>639</v>
      </c>
      <c r="B51" s="47" t="s">
        <v>687</v>
      </c>
      <c r="C51" s="46" t="s">
        <v>103</v>
      </c>
      <c r="D51" s="46" t="s">
        <v>104</v>
      </c>
      <c r="E51" s="48" t="s">
        <v>641</v>
      </c>
      <c r="F51" s="49" t="n">
        <v>37</v>
      </c>
      <c r="G51" s="49" t="n">
        <v>0</v>
      </c>
      <c r="H51" s="50" t="n">
        <f aca="false">IFERROR($F51/SUM($F$5:$F$175),"")</f>
        <v>0.000452793244814294</v>
      </c>
    </row>
    <row r="52" customFormat="false" ht="15" hidden="false" customHeight="false" outlineLevel="0" collapsed="false">
      <c r="A52" s="46" t="s">
        <v>639</v>
      </c>
      <c r="B52" s="47" t="s">
        <v>185</v>
      </c>
      <c r="C52" s="46" t="s">
        <v>103</v>
      </c>
      <c r="D52" s="46" t="s">
        <v>104</v>
      </c>
      <c r="E52" s="48" t="s">
        <v>641</v>
      </c>
      <c r="F52" s="49" t="n">
        <v>197</v>
      </c>
      <c r="G52" s="49" t="n">
        <v>0</v>
      </c>
      <c r="H52" s="50" t="n">
        <f aca="false">IFERROR($F52/SUM($F$5:$F$175),"")</f>
        <v>0.00241081808725448</v>
      </c>
    </row>
    <row r="53" customFormat="false" ht="15" hidden="false" customHeight="false" outlineLevel="0" collapsed="false">
      <c r="A53" s="46" t="s">
        <v>639</v>
      </c>
      <c r="B53" s="47" t="s">
        <v>688</v>
      </c>
      <c r="C53" s="46" t="s">
        <v>103</v>
      </c>
      <c r="D53" s="46" t="s">
        <v>104</v>
      </c>
      <c r="E53" s="48" t="s">
        <v>641</v>
      </c>
      <c r="F53" s="49" t="n">
        <v>181</v>
      </c>
      <c r="G53" s="49" t="n">
        <v>2</v>
      </c>
      <c r="H53" s="50" t="n">
        <f aca="false">IFERROR($F53/SUM($F$5:$F$175),"")</f>
        <v>0.00221501560301046</v>
      </c>
    </row>
    <row r="54" customFormat="false" ht="15" hidden="false" customHeight="false" outlineLevel="0" collapsed="false">
      <c r="A54" s="46" t="s">
        <v>639</v>
      </c>
      <c r="B54" s="47" t="s">
        <v>689</v>
      </c>
      <c r="C54" s="46" t="s">
        <v>103</v>
      </c>
      <c r="D54" s="46" t="s">
        <v>104</v>
      </c>
      <c r="E54" s="48" t="s">
        <v>641</v>
      </c>
      <c r="F54" s="49" t="n">
        <v>1214</v>
      </c>
      <c r="G54" s="49" t="n">
        <v>0</v>
      </c>
      <c r="H54" s="50" t="n">
        <f aca="false">IFERROR($F54/SUM($F$5:$F$175),"")</f>
        <v>0.0148565134920149</v>
      </c>
    </row>
    <row r="55" customFormat="false" ht="15" hidden="false" customHeight="false" outlineLevel="0" collapsed="false">
      <c r="A55" s="46" t="s">
        <v>639</v>
      </c>
      <c r="B55" s="47" t="s">
        <v>690</v>
      </c>
      <c r="C55" s="46" t="s">
        <v>103</v>
      </c>
      <c r="D55" s="46" t="s">
        <v>104</v>
      </c>
      <c r="E55" s="48" t="s">
        <v>643</v>
      </c>
      <c r="F55" s="49" t="n">
        <v>159</v>
      </c>
      <c r="G55" s="49" t="n">
        <v>6</v>
      </c>
      <c r="H55" s="50" t="n">
        <f aca="false">IFERROR($F55/SUM($F$5:$F$175),"")</f>
        <v>0.00194578718717494</v>
      </c>
    </row>
    <row r="56" customFormat="false" ht="15" hidden="false" customHeight="false" outlineLevel="0" collapsed="false">
      <c r="A56" s="46" t="s">
        <v>639</v>
      </c>
      <c r="B56" s="47" t="s">
        <v>691</v>
      </c>
      <c r="C56" s="46" t="s">
        <v>103</v>
      </c>
      <c r="D56" s="46" t="s">
        <v>104</v>
      </c>
      <c r="E56" s="48" t="s">
        <v>641</v>
      </c>
      <c r="F56" s="49" t="n">
        <v>78</v>
      </c>
      <c r="G56" s="49" t="n">
        <v>0</v>
      </c>
      <c r="H56" s="50" t="n">
        <f aca="false">IFERROR($F56/SUM($F$5:$F$175),"")</f>
        <v>0.000954537110689592</v>
      </c>
    </row>
    <row r="57" customFormat="false" ht="15" hidden="false" customHeight="false" outlineLevel="0" collapsed="false">
      <c r="A57" s="46" t="s">
        <v>639</v>
      </c>
      <c r="B57" s="47" t="s">
        <v>147</v>
      </c>
      <c r="C57" s="46" t="s">
        <v>103</v>
      </c>
      <c r="D57" s="46" t="s">
        <v>104</v>
      </c>
      <c r="E57" s="48" t="s">
        <v>641</v>
      </c>
      <c r="F57" s="49" t="n">
        <v>189</v>
      </c>
      <c r="G57" s="49" t="n">
        <v>0</v>
      </c>
      <c r="H57" s="50" t="n">
        <f aca="false">IFERROR($F57/SUM($F$5:$F$175),"")</f>
        <v>0.00231291684513247</v>
      </c>
    </row>
    <row r="58" customFormat="false" ht="15" hidden="false" customHeight="false" outlineLevel="0" collapsed="false">
      <c r="A58" s="46" t="s">
        <v>639</v>
      </c>
      <c r="B58" s="47" t="s">
        <v>692</v>
      </c>
      <c r="C58" s="46" t="s">
        <v>103</v>
      </c>
      <c r="D58" s="46" t="s">
        <v>104</v>
      </c>
      <c r="E58" s="48" t="s">
        <v>641</v>
      </c>
      <c r="F58" s="49" t="n">
        <v>627</v>
      </c>
      <c r="G58" s="49" t="n">
        <v>1</v>
      </c>
      <c r="H58" s="50" t="n">
        <f aca="false">IFERROR($F58/SUM($F$5:$F$175),"")</f>
        <v>0.00767300985131249</v>
      </c>
    </row>
    <row r="59" customFormat="false" ht="15" hidden="false" customHeight="false" outlineLevel="0" collapsed="false">
      <c r="A59" s="46" t="s">
        <v>639</v>
      </c>
      <c r="B59" s="47" t="s">
        <v>693</v>
      </c>
      <c r="C59" s="46" t="s">
        <v>103</v>
      </c>
      <c r="D59" s="46" t="s">
        <v>104</v>
      </c>
      <c r="E59" s="48" t="s">
        <v>641</v>
      </c>
      <c r="F59" s="49" t="n">
        <v>149</v>
      </c>
      <c r="G59" s="49" t="n">
        <v>0</v>
      </c>
      <c r="H59" s="50" t="n">
        <f aca="false">IFERROR($F59/SUM($F$5:$F$175),"")</f>
        <v>0.00182341063452243</v>
      </c>
    </row>
    <row r="60" customFormat="false" ht="15" hidden="false" customHeight="false" outlineLevel="0" collapsed="false">
      <c r="A60" s="46" t="s">
        <v>639</v>
      </c>
      <c r="B60" s="47" t="s">
        <v>202</v>
      </c>
      <c r="C60" s="46" t="s">
        <v>103</v>
      </c>
      <c r="D60" s="46" t="s">
        <v>104</v>
      </c>
      <c r="E60" s="48" t="s">
        <v>641</v>
      </c>
      <c r="F60" s="49" t="n">
        <v>137</v>
      </c>
      <c r="G60" s="49" t="n">
        <v>0</v>
      </c>
      <c r="H60" s="50" t="n">
        <f aca="false">IFERROR($F60/SUM($F$5:$F$175),"")</f>
        <v>0.00167655877133941</v>
      </c>
    </row>
    <row r="61" customFormat="false" ht="15" hidden="false" customHeight="false" outlineLevel="0" collapsed="false">
      <c r="A61" s="46" t="s">
        <v>639</v>
      </c>
      <c r="B61" s="47" t="s">
        <v>694</v>
      </c>
      <c r="C61" s="46" t="s">
        <v>103</v>
      </c>
      <c r="D61" s="46" t="s">
        <v>104</v>
      </c>
      <c r="E61" s="48" t="s">
        <v>641</v>
      </c>
      <c r="F61" s="49" t="n">
        <v>62</v>
      </c>
      <c r="G61" s="49" t="n">
        <v>0</v>
      </c>
      <c r="H61" s="50" t="n">
        <f aca="false">IFERROR($F61/SUM($F$5:$F$175),"")</f>
        <v>0.000758734626445573</v>
      </c>
    </row>
    <row r="62" customFormat="false" ht="15" hidden="false" customHeight="false" outlineLevel="0" collapsed="false">
      <c r="A62" s="46" t="s">
        <v>639</v>
      </c>
      <c r="B62" s="47" t="s">
        <v>695</v>
      </c>
      <c r="C62" s="46" t="s">
        <v>103</v>
      </c>
      <c r="D62" s="46" t="s">
        <v>104</v>
      </c>
      <c r="E62" s="48" t="s">
        <v>643</v>
      </c>
      <c r="F62" s="49" t="n">
        <v>702</v>
      </c>
      <c r="G62" s="49" t="n">
        <v>38</v>
      </c>
      <c r="H62" s="50" t="n">
        <f aca="false">IFERROR($F62/SUM($F$5:$F$175),"")</f>
        <v>0.00859083399620633</v>
      </c>
    </row>
    <row r="63" customFormat="false" ht="15" hidden="false" customHeight="false" outlineLevel="0" collapsed="false">
      <c r="A63" s="46" t="s">
        <v>639</v>
      </c>
      <c r="B63" s="47" t="s">
        <v>696</v>
      </c>
      <c r="C63" s="46" t="s">
        <v>103</v>
      </c>
      <c r="D63" s="46" t="s">
        <v>104</v>
      </c>
      <c r="E63" s="48" t="s">
        <v>643</v>
      </c>
      <c r="F63" s="49" t="n">
        <v>462</v>
      </c>
      <c r="G63" s="49" t="n">
        <v>15</v>
      </c>
      <c r="H63" s="50" t="n">
        <f aca="false">IFERROR($F63/SUM($F$5:$F$175),"")</f>
        <v>0.00565379673254604</v>
      </c>
    </row>
    <row r="64" customFormat="false" ht="15" hidden="false" customHeight="false" outlineLevel="0" collapsed="false">
      <c r="A64" s="46" t="s">
        <v>639</v>
      </c>
      <c r="B64" s="47" t="s">
        <v>697</v>
      </c>
      <c r="C64" s="46" t="s">
        <v>103</v>
      </c>
      <c r="D64" s="46" t="s">
        <v>104</v>
      </c>
      <c r="E64" s="48" t="s">
        <v>643</v>
      </c>
      <c r="F64" s="49" t="n">
        <v>714</v>
      </c>
      <c r="G64" s="49" t="n">
        <v>23</v>
      </c>
      <c r="H64" s="50" t="n">
        <f aca="false">IFERROR($F64/SUM($F$5:$F$175),"")</f>
        <v>0.00873768585938934</v>
      </c>
    </row>
    <row r="65" customFormat="false" ht="15" hidden="false" customHeight="false" outlineLevel="0" collapsed="false">
      <c r="A65" s="46" t="s">
        <v>639</v>
      </c>
      <c r="B65" s="47" t="s">
        <v>698</v>
      </c>
      <c r="C65" s="46" t="s">
        <v>103</v>
      </c>
      <c r="D65" s="46" t="s">
        <v>104</v>
      </c>
      <c r="E65" s="48" t="s">
        <v>641</v>
      </c>
      <c r="F65" s="49" t="n">
        <v>522</v>
      </c>
      <c r="G65" s="49" t="n">
        <v>0</v>
      </c>
      <c r="H65" s="50" t="n">
        <f aca="false">IFERROR($F65/SUM($F$5:$F$175),"")</f>
        <v>0.00638805604846112</v>
      </c>
    </row>
    <row r="66" customFormat="false" ht="15" hidden="false" customHeight="false" outlineLevel="0" collapsed="false">
      <c r="A66" s="46" t="s">
        <v>639</v>
      </c>
      <c r="B66" s="47" t="s">
        <v>699</v>
      </c>
      <c r="C66" s="46" t="s">
        <v>103</v>
      </c>
      <c r="D66" s="46" t="s">
        <v>104</v>
      </c>
      <c r="E66" s="48" t="s">
        <v>643</v>
      </c>
      <c r="F66" s="49" t="n">
        <v>451</v>
      </c>
      <c r="G66" s="49" t="n">
        <v>7</v>
      </c>
      <c r="H66" s="50" t="n">
        <f aca="false">IFERROR($F66/SUM($F$5:$F$175),"")</f>
        <v>0.00551918252462828</v>
      </c>
    </row>
    <row r="67" customFormat="false" ht="15" hidden="false" customHeight="false" outlineLevel="0" collapsed="false">
      <c r="A67" s="46" t="s">
        <v>639</v>
      </c>
      <c r="B67" s="47" t="s">
        <v>700</v>
      </c>
      <c r="C67" s="46" t="s">
        <v>103</v>
      </c>
      <c r="D67" s="46" t="s">
        <v>104</v>
      </c>
      <c r="E67" s="48" t="s">
        <v>641</v>
      </c>
      <c r="F67" s="49" t="n">
        <v>287</v>
      </c>
      <c r="G67" s="49" t="n">
        <v>0</v>
      </c>
      <c r="H67" s="50" t="n">
        <f aca="false">IFERROR($F67/SUM($F$5:$F$175),"")</f>
        <v>0.00351220706112709</v>
      </c>
    </row>
    <row r="68" customFormat="false" ht="15" hidden="false" customHeight="false" outlineLevel="0" collapsed="false">
      <c r="A68" s="46" t="s">
        <v>639</v>
      </c>
      <c r="B68" s="47" t="s">
        <v>701</v>
      </c>
      <c r="C68" s="46" t="s">
        <v>103</v>
      </c>
      <c r="D68" s="46" t="s">
        <v>104</v>
      </c>
      <c r="E68" s="48" t="s">
        <v>643</v>
      </c>
      <c r="F68" s="49" t="n">
        <v>609</v>
      </c>
      <c r="G68" s="49" t="n">
        <v>10</v>
      </c>
      <c r="H68" s="50" t="n">
        <f aca="false">IFERROR($F68/SUM($F$5:$F$175),"")</f>
        <v>0.00745273205653797</v>
      </c>
    </row>
    <row r="69" customFormat="false" ht="15" hidden="false" customHeight="false" outlineLevel="0" collapsed="false">
      <c r="A69" s="46" t="s">
        <v>639</v>
      </c>
      <c r="B69" s="47" t="s">
        <v>702</v>
      </c>
      <c r="C69" s="46" t="s">
        <v>103</v>
      </c>
      <c r="D69" s="46" t="s">
        <v>104</v>
      </c>
      <c r="E69" s="48" t="s">
        <v>643</v>
      </c>
      <c r="F69" s="49" t="n">
        <v>301</v>
      </c>
      <c r="G69" s="49" t="n">
        <v>5</v>
      </c>
      <c r="H69" s="50" t="n">
        <f aca="false">IFERROR($F69/SUM($F$5:$F$175),"")</f>
        <v>0.0036835342348406</v>
      </c>
    </row>
    <row r="70" customFormat="false" ht="15" hidden="false" customHeight="false" outlineLevel="0" collapsed="false">
      <c r="A70" s="46" t="s">
        <v>639</v>
      </c>
      <c r="B70" s="47" t="s">
        <v>703</v>
      </c>
      <c r="C70" s="46" t="s">
        <v>103</v>
      </c>
      <c r="D70" s="46" t="s">
        <v>104</v>
      </c>
      <c r="E70" s="48" t="s">
        <v>643</v>
      </c>
      <c r="F70" s="49" t="n">
        <v>722</v>
      </c>
      <c r="G70" s="49" t="n">
        <v>21</v>
      </c>
      <c r="H70" s="50" t="n">
        <f aca="false">IFERROR($F70/SUM($F$5:$F$175),"")</f>
        <v>0.00883558710151135</v>
      </c>
    </row>
    <row r="71" customFormat="false" ht="15" hidden="false" customHeight="false" outlineLevel="0" collapsed="false">
      <c r="A71" s="46" t="s">
        <v>639</v>
      </c>
      <c r="B71" s="47" t="s">
        <v>704</v>
      </c>
      <c r="C71" s="46" t="s">
        <v>103</v>
      </c>
      <c r="D71" s="46" t="s">
        <v>104</v>
      </c>
      <c r="E71" s="48" t="s">
        <v>641</v>
      </c>
      <c r="F71" s="49" t="n">
        <v>928</v>
      </c>
      <c r="G71" s="49" t="n">
        <v>0</v>
      </c>
      <c r="H71" s="50" t="n">
        <f aca="false">IFERROR($F71/SUM($F$5:$F$175),"")</f>
        <v>0.0113565440861531</v>
      </c>
    </row>
    <row r="72" customFormat="false" ht="15" hidden="false" customHeight="false" outlineLevel="0" collapsed="false">
      <c r="A72" s="46" t="s">
        <v>639</v>
      </c>
      <c r="B72" s="47" t="s">
        <v>705</v>
      </c>
      <c r="C72" s="46" t="s">
        <v>103</v>
      </c>
      <c r="D72" s="46" t="s">
        <v>104</v>
      </c>
      <c r="E72" s="48" t="s">
        <v>643</v>
      </c>
      <c r="F72" s="49" t="n">
        <v>439</v>
      </c>
      <c r="G72" s="49" t="n">
        <v>16</v>
      </c>
      <c r="H72" s="50" t="n">
        <f aca="false">IFERROR($F72/SUM($F$5:$F$175),"")</f>
        <v>0.00537233066144527</v>
      </c>
    </row>
    <row r="73" customFormat="false" ht="15" hidden="false" customHeight="false" outlineLevel="0" collapsed="false">
      <c r="A73" s="46" t="s">
        <v>639</v>
      </c>
      <c r="B73" s="47" t="s">
        <v>139</v>
      </c>
      <c r="C73" s="46" t="s">
        <v>103</v>
      </c>
      <c r="D73" s="46" t="s">
        <v>104</v>
      </c>
      <c r="E73" s="48" t="s">
        <v>641</v>
      </c>
      <c r="F73" s="49" t="n">
        <v>322</v>
      </c>
      <c r="G73" s="49" t="n">
        <v>0</v>
      </c>
      <c r="H73" s="50" t="n">
        <f aca="false">IFERROR($F73/SUM($F$5:$F$175),"")</f>
        <v>0.00394052499541088</v>
      </c>
    </row>
    <row r="74" customFormat="false" ht="15" hidden="false" customHeight="false" outlineLevel="0" collapsed="false">
      <c r="A74" s="46" t="s">
        <v>639</v>
      </c>
      <c r="B74" s="47" t="s">
        <v>706</v>
      </c>
      <c r="C74" s="46" t="s">
        <v>103</v>
      </c>
      <c r="D74" s="46" t="s">
        <v>104</v>
      </c>
      <c r="E74" s="48" t="s">
        <v>643</v>
      </c>
      <c r="F74" s="49" t="n">
        <v>902</v>
      </c>
      <c r="G74" s="49" t="n">
        <v>26</v>
      </c>
      <c r="H74" s="50" t="n">
        <f aca="false">IFERROR($F74/SUM($F$5:$F$175),"")</f>
        <v>0.0110383650492566</v>
      </c>
    </row>
    <row r="75" customFormat="false" ht="15" hidden="false" customHeight="false" outlineLevel="0" collapsed="false">
      <c r="A75" s="46" t="s">
        <v>639</v>
      </c>
      <c r="B75" s="47" t="s">
        <v>707</v>
      </c>
      <c r="C75" s="46" t="s">
        <v>103</v>
      </c>
      <c r="D75" s="46" t="s">
        <v>104</v>
      </c>
      <c r="E75" s="48" t="s">
        <v>641</v>
      </c>
      <c r="F75" s="49" t="n">
        <v>659</v>
      </c>
      <c r="G75" s="49" t="n">
        <v>0</v>
      </c>
      <c r="H75" s="50" t="n">
        <f aca="false">IFERROR($F75/SUM($F$5:$F$175),"")</f>
        <v>0.00806461481980053</v>
      </c>
    </row>
    <row r="76" customFormat="false" ht="15" hidden="false" customHeight="false" outlineLevel="0" collapsed="false">
      <c r="A76" s="46" t="s">
        <v>639</v>
      </c>
      <c r="B76" s="47" t="s">
        <v>708</v>
      </c>
      <c r="C76" s="46" t="s">
        <v>103</v>
      </c>
      <c r="D76" s="46" t="s">
        <v>104</v>
      </c>
      <c r="E76" s="48" t="s">
        <v>643</v>
      </c>
      <c r="F76" s="49" t="n">
        <v>1186</v>
      </c>
      <c r="G76" s="49" t="n">
        <v>18</v>
      </c>
      <c r="H76" s="50" t="n">
        <f aca="false">IFERROR($F76/SUM($F$5:$F$175),"")</f>
        <v>0.0145138591445879</v>
      </c>
    </row>
    <row r="77" customFormat="false" ht="15" hidden="false" customHeight="false" outlineLevel="0" collapsed="false">
      <c r="A77" s="46" t="s">
        <v>639</v>
      </c>
      <c r="B77" s="47" t="s">
        <v>709</v>
      </c>
      <c r="C77" s="46" t="s">
        <v>103</v>
      </c>
      <c r="D77" s="46" t="s">
        <v>104</v>
      </c>
      <c r="E77" s="48" t="s">
        <v>641</v>
      </c>
      <c r="F77" s="49" t="n">
        <v>465</v>
      </c>
      <c r="G77" s="49" t="n">
        <v>0</v>
      </c>
      <c r="H77" s="50" t="n">
        <f aca="false">IFERROR($F77/SUM($F$5:$F$175),"")</f>
        <v>0.0056905096983418</v>
      </c>
    </row>
    <row r="78" customFormat="false" ht="15" hidden="false" customHeight="false" outlineLevel="0" collapsed="false">
      <c r="A78" s="46" t="s">
        <v>639</v>
      </c>
      <c r="B78" s="47" t="s">
        <v>710</v>
      </c>
      <c r="C78" s="46" t="s">
        <v>103</v>
      </c>
      <c r="D78" s="46" t="s">
        <v>110</v>
      </c>
      <c r="E78" s="48" t="s">
        <v>641</v>
      </c>
      <c r="F78" s="49" t="n">
        <v>369</v>
      </c>
      <c r="G78" s="49" t="n">
        <v>0</v>
      </c>
      <c r="H78" s="50" t="n">
        <f aca="false">IFERROR($F78/SUM($F$5:$F$175),"")</f>
        <v>0.00451569479287768</v>
      </c>
    </row>
    <row r="79" customFormat="false" ht="15" hidden="false" customHeight="false" outlineLevel="0" collapsed="false">
      <c r="A79" s="46" t="s">
        <v>639</v>
      </c>
      <c r="B79" s="47" t="s">
        <v>711</v>
      </c>
      <c r="C79" s="46" t="s">
        <v>103</v>
      </c>
      <c r="D79" s="46" t="s">
        <v>110</v>
      </c>
      <c r="E79" s="48" t="s">
        <v>643</v>
      </c>
      <c r="F79" s="49" t="n">
        <v>148</v>
      </c>
      <c r="G79" s="49" t="n">
        <v>10</v>
      </c>
      <c r="H79" s="50" t="n">
        <f aca="false">IFERROR($F79/SUM($F$5:$F$175),"")</f>
        <v>0.00181117297925717</v>
      </c>
    </row>
    <row r="80" customFormat="false" ht="15" hidden="false" customHeight="false" outlineLevel="0" collapsed="false">
      <c r="A80" s="46" t="s">
        <v>639</v>
      </c>
      <c r="B80" s="47" t="s">
        <v>712</v>
      </c>
      <c r="C80" s="46" t="s">
        <v>103</v>
      </c>
      <c r="D80" s="46" t="s">
        <v>110</v>
      </c>
      <c r="E80" s="48" t="s">
        <v>641</v>
      </c>
      <c r="F80" s="49" t="n">
        <v>535</v>
      </c>
      <c r="G80" s="49" t="n">
        <v>0</v>
      </c>
      <c r="H80" s="50" t="n">
        <f aca="false">IFERROR($F80/SUM($F$5:$F$175),"")</f>
        <v>0.00654714556690938</v>
      </c>
    </row>
    <row r="81" customFormat="false" ht="15" hidden="false" customHeight="false" outlineLevel="0" collapsed="false">
      <c r="A81" s="46" t="s">
        <v>639</v>
      </c>
      <c r="B81" s="47" t="s">
        <v>713</v>
      </c>
      <c r="C81" s="46" t="s">
        <v>103</v>
      </c>
      <c r="D81" s="46" t="s">
        <v>110</v>
      </c>
      <c r="E81" s="48" t="s">
        <v>643</v>
      </c>
      <c r="F81" s="49" t="n">
        <v>502</v>
      </c>
      <c r="G81" s="49" t="n">
        <v>24</v>
      </c>
      <c r="H81" s="50" t="n">
        <f aca="false">IFERROR($F81/SUM($F$5:$F$175),"")</f>
        <v>0.00614330294315609</v>
      </c>
    </row>
    <row r="82" customFormat="false" ht="15" hidden="false" customHeight="false" outlineLevel="0" collapsed="false">
      <c r="A82" s="46" t="s">
        <v>639</v>
      </c>
      <c r="B82" s="47" t="s">
        <v>387</v>
      </c>
      <c r="C82" s="46" t="s">
        <v>103</v>
      </c>
      <c r="D82" s="46" t="s">
        <v>110</v>
      </c>
      <c r="E82" s="48" t="s">
        <v>641</v>
      </c>
      <c r="F82" s="49" t="n">
        <v>94</v>
      </c>
      <c r="G82" s="49" t="n">
        <v>0</v>
      </c>
      <c r="H82" s="50" t="n">
        <f aca="false">IFERROR($F82/SUM($F$5:$F$175),"")</f>
        <v>0.00115033959493361</v>
      </c>
    </row>
    <row r="83" customFormat="false" ht="15" hidden="false" customHeight="false" outlineLevel="0" collapsed="false">
      <c r="A83" s="46" t="s">
        <v>639</v>
      </c>
      <c r="B83" s="47" t="s">
        <v>714</v>
      </c>
      <c r="C83" s="46" t="s">
        <v>103</v>
      </c>
      <c r="D83" s="46" t="s">
        <v>110</v>
      </c>
      <c r="E83" s="48" t="s">
        <v>643</v>
      </c>
      <c r="F83" s="49" t="n">
        <v>130</v>
      </c>
      <c r="G83" s="49" t="n">
        <v>7</v>
      </c>
      <c r="H83" s="50" t="n">
        <f aca="false">IFERROR($F83/SUM($F$5:$F$175),"")</f>
        <v>0.00159089518448265</v>
      </c>
    </row>
    <row r="84" customFormat="false" ht="15" hidden="false" customHeight="false" outlineLevel="0" collapsed="false">
      <c r="A84" s="46" t="s">
        <v>639</v>
      </c>
      <c r="B84" s="47" t="s">
        <v>715</v>
      </c>
      <c r="C84" s="46" t="s">
        <v>103</v>
      </c>
      <c r="D84" s="46" t="s">
        <v>110</v>
      </c>
      <c r="E84" s="48" t="s">
        <v>641</v>
      </c>
      <c r="F84" s="49" t="n">
        <v>128</v>
      </c>
      <c r="G84" s="49" t="n">
        <v>6</v>
      </c>
      <c r="H84" s="50" t="n">
        <f aca="false">IFERROR($F84/SUM($F$5:$F$175),"")</f>
        <v>0.00156641987395215</v>
      </c>
    </row>
    <row r="85" customFormat="false" ht="15" hidden="false" customHeight="false" outlineLevel="0" collapsed="false">
      <c r="A85" s="46" t="s">
        <v>639</v>
      </c>
      <c r="B85" s="47" t="s">
        <v>716</v>
      </c>
      <c r="C85" s="46" t="s">
        <v>103</v>
      </c>
      <c r="D85" s="46" t="s">
        <v>110</v>
      </c>
      <c r="E85" s="48" t="s">
        <v>641</v>
      </c>
      <c r="F85" s="49" t="n">
        <v>924</v>
      </c>
      <c r="G85" s="49" t="n">
        <v>0</v>
      </c>
      <c r="H85" s="50" t="n">
        <f aca="false">IFERROR($F85/SUM($F$5:$F$175),"")</f>
        <v>0.0113075934650921</v>
      </c>
    </row>
    <row r="86" customFormat="false" ht="15" hidden="false" customHeight="false" outlineLevel="0" collapsed="false">
      <c r="A86" s="46" t="s">
        <v>639</v>
      </c>
      <c r="B86" s="47" t="s">
        <v>717</v>
      </c>
      <c r="C86" s="46" t="s">
        <v>103</v>
      </c>
      <c r="D86" s="46" t="s">
        <v>110</v>
      </c>
      <c r="E86" s="48" t="s">
        <v>641</v>
      </c>
      <c r="F86" s="49" t="n">
        <v>180</v>
      </c>
      <c r="G86" s="49" t="n">
        <v>0</v>
      </c>
      <c r="H86" s="50" t="n">
        <f aca="false">IFERROR($F86/SUM($F$5:$F$175),"")</f>
        <v>0.00220277794774521</v>
      </c>
    </row>
    <row r="87" customFormat="false" ht="15" hidden="false" customHeight="false" outlineLevel="0" collapsed="false">
      <c r="A87" s="46" t="s">
        <v>639</v>
      </c>
      <c r="B87" s="47" t="s">
        <v>718</v>
      </c>
      <c r="C87" s="46" t="s">
        <v>103</v>
      </c>
      <c r="D87" s="46" t="s">
        <v>110</v>
      </c>
      <c r="E87" s="48" t="s">
        <v>641</v>
      </c>
      <c r="F87" s="49" t="n">
        <v>124</v>
      </c>
      <c r="G87" s="49" t="n">
        <v>0</v>
      </c>
      <c r="H87" s="50" t="n">
        <f aca="false">IFERROR($F87/SUM($F$5:$F$175),"")</f>
        <v>0.00151746925289115</v>
      </c>
    </row>
    <row r="88" customFormat="false" ht="15" hidden="false" customHeight="false" outlineLevel="0" collapsed="false">
      <c r="A88" s="46" t="s">
        <v>639</v>
      </c>
      <c r="B88" s="47" t="s">
        <v>719</v>
      </c>
      <c r="C88" s="46" t="s">
        <v>103</v>
      </c>
      <c r="D88" s="46" t="s">
        <v>110</v>
      </c>
      <c r="E88" s="48" t="s">
        <v>643</v>
      </c>
      <c r="F88" s="49" t="n">
        <v>615</v>
      </c>
      <c r="G88" s="49" t="n">
        <v>68</v>
      </c>
      <c r="H88" s="50" t="n">
        <f aca="false">IFERROR($F88/SUM($F$5:$F$175),"")</f>
        <v>0.00752615798812947</v>
      </c>
    </row>
    <row r="89" customFormat="false" ht="15" hidden="false" customHeight="false" outlineLevel="0" collapsed="false">
      <c r="A89" s="46" t="s">
        <v>639</v>
      </c>
      <c r="B89" s="47" t="s">
        <v>720</v>
      </c>
      <c r="C89" s="46" t="s">
        <v>103</v>
      </c>
      <c r="D89" s="46" t="s">
        <v>106</v>
      </c>
      <c r="E89" s="48" t="s">
        <v>641</v>
      </c>
      <c r="F89" s="49" t="n">
        <v>527</v>
      </c>
      <c r="G89" s="49" t="n">
        <v>0</v>
      </c>
      <c r="H89" s="50" t="n">
        <f aca="false">IFERROR($F89/SUM($F$5:$F$175),"")</f>
        <v>0.00644924432478737</v>
      </c>
    </row>
    <row r="90" customFormat="false" ht="15" hidden="false" customHeight="false" outlineLevel="0" collapsed="false">
      <c r="A90" s="46" t="s">
        <v>639</v>
      </c>
      <c r="B90" s="47" t="s">
        <v>721</v>
      </c>
      <c r="C90" s="46" t="s">
        <v>103</v>
      </c>
      <c r="D90" s="46" t="s">
        <v>106</v>
      </c>
      <c r="E90" s="48" t="s">
        <v>643</v>
      </c>
      <c r="F90" s="49" t="n">
        <v>185</v>
      </c>
      <c r="G90" s="49" t="n">
        <v>4</v>
      </c>
      <c r="H90" s="50" t="n">
        <f aca="false">IFERROR($F90/SUM($F$5:$F$175),"")</f>
        <v>0.00226396622407147</v>
      </c>
    </row>
    <row r="91" customFormat="false" ht="15" hidden="false" customHeight="false" outlineLevel="0" collapsed="false">
      <c r="A91" s="46" t="s">
        <v>639</v>
      </c>
      <c r="B91" s="47" t="s">
        <v>722</v>
      </c>
      <c r="C91" s="46" t="s">
        <v>103</v>
      </c>
      <c r="D91" s="46" t="s">
        <v>106</v>
      </c>
      <c r="E91" s="48" t="s">
        <v>643</v>
      </c>
      <c r="F91" s="49" t="n">
        <v>197</v>
      </c>
      <c r="G91" s="49" t="n">
        <v>7</v>
      </c>
      <c r="H91" s="50" t="n">
        <f aca="false">IFERROR($F91/SUM($F$5:$F$175),"")</f>
        <v>0.00241081808725448</v>
      </c>
    </row>
    <row r="92" customFormat="false" ht="15" hidden="false" customHeight="false" outlineLevel="0" collapsed="false">
      <c r="A92" s="46" t="s">
        <v>639</v>
      </c>
      <c r="B92" s="47" t="s">
        <v>723</v>
      </c>
      <c r="C92" s="46" t="s">
        <v>103</v>
      </c>
      <c r="D92" s="46" t="s">
        <v>106</v>
      </c>
      <c r="E92" s="48" t="s">
        <v>643</v>
      </c>
      <c r="F92" s="49" t="n">
        <v>208</v>
      </c>
      <c r="G92" s="49" t="n">
        <v>5</v>
      </c>
      <c r="H92" s="50" t="n">
        <f aca="false">IFERROR($F92/SUM($F$5:$F$175),"")</f>
        <v>0.00254543229517225</v>
      </c>
    </row>
    <row r="93" customFormat="false" ht="15" hidden="false" customHeight="false" outlineLevel="0" collapsed="false">
      <c r="A93" s="46" t="s">
        <v>639</v>
      </c>
      <c r="B93" s="47" t="s">
        <v>724</v>
      </c>
      <c r="C93" s="46" t="s">
        <v>103</v>
      </c>
      <c r="D93" s="46" t="s">
        <v>106</v>
      </c>
      <c r="E93" s="48" t="s">
        <v>643</v>
      </c>
      <c r="F93" s="49" t="n">
        <v>540</v>
      </c>
      <c r="G93" s="49" t="n">
        <v>10</v>
      </c>
      <c r="H93" s="50" t="n">
        <f aca="false">IFERROR($F93/SUM($F$5:$F$175),"")</f>
        <v>0.00660833384323564</v>
      </c>
    </row>
    <row r="94" customFormat="false" ht="15" hidden="false" customHeight="false" outlineLevel="0" collapsed="false">
      <c r="A94" s="46" t="s">
        <v>639</v>
      </c>
      <c r="B94" s="47" t="s">
        <v>270</v>
      </c>
      <c r="C94" s="46" t="s">
        <v>103</v>
      </c>
      <c r="D94" s="46" t="s">
        <v>106</v>
      </c>
      <c r="E94" s="48" t="s">
        <v>641</v>
      </c>
      <c r="F94" s="49" t="n">
        <v>539</v>
      </c>
      <c r="G94" s="49" t="n">
        <v>0</v>
      </c>
      <c r="H94" s="50" t="n">
        <f aca="false">IFERROR($F94/SUM($F$5:$F$175),"")</f>
        <v>0.00659609618797039</v>
      </c>
    </row>
    <row r="95" customFormat="false" ht="15" hidden="false" customHeight="false" outlineLevel="0" collapsed="false">
      <c r="A95" s="46" t="s">
        <v>639</v>
      </c>
      <c r="B95" s="47" t="s">
        <v>725</v>
      </c>
      <c r="C95" s="46" t="s">
        <v>103</v>
      </c>
      <c r="D95" s="46" t="s">
        <v>106</v>
      </c>
      <c r="E95" s="48" t="s">
        <v>643</v>
      </c>
      <c r="F95" s="49" t="n">
        <v>306</v>
      </c>
      <c r="G95" s="49" t="n">
        <v>8</v>
      </c>
      <c r="H95" s="50" t="n">
        <f aca="false">IFERROR($F95/SUM($F$5:$F$175),"")</f>
        <v>0.00374472251116686</v>
      </c>
    </row>
    <row r="96" customFormat="false" ht="15" hidden="false" customHeight="false" outlineLevel="0" collapsed="false">
      <c r="A96" s="46" t="s">
        <v>639</v>
      </c>
      <c r="B96" s="47" t="s">
        <v>726</v>
      </c>
      <c r="C96" s="46" t="s">
        <v>103</v>
      </c>
      <c r="D96" s="46" t="s">
        <v>106</v>
      </c>
      <c r="E96" s="48" t="s">
        <v>643</v>
      </c>
      <c r="F96" s="49" t="n">
        <v>1072</v>
      </c>
      <c r="G96" s="49" t="n">
        <v>23</v>
      </c>
      <c r="H96" s="50" t="n">
        <f aca="false">IFERROR($F96/SUM($F$5:$F$175),"")</f>
        <v>0.0131187664443493</v>
      </c>
    </row>
    <row r="97" customFormat="false" ht="15" hidden="false" customHeight="false" outlineLevel="0" collapsed="false">
      <c r="A97" s="46" t="s">
        <v>639</v>
      </c>
      <c r="B97" s="47" t="s">
        <v>727</v>
      </c>
      <c r="C97" s="46" t="s">
        <v>103</v>
      </c>
      <c r="D97" s="46" t="s">
        <v>106</v>
      </c>
      <c r="E97" s="48" t="s">
        <v>643</v>
      </c>
      <c r="F97" s="49" t="n">
        <v>88</v>
      </c>
      <c r="G97" s="49" t="n">
        <v>2</v>
      </c>
      <c r="H97" s="50" t="n">
        <f aca="false">IFERROR($F97/SUM($F$5:$F$175),"")</f>
        <v>0.0010769136633421</v>
      </c>
    </row>
    <row r="98" customFormat="false" ht="15" hidden="false" customHeight="false" outlineLevel="0" collapsed="false">
      <c r="A98" s="46" t="s">
        <v>639</v>
      </c>
      <c r="B98" s="47" t="s">
        <v>728</v>
      </c>
      <c r="C98" s="46" t="s">
        <v>103</v>
      </c>
      <c r="D98" s="46" t="s">
        <v>106</v>
      </c>
      <c r="E98" s="48" t="s">
        <v>641</v>
      </c>
      <c r="F98" s="49" t="n">
        <v>428</v>
      </c>
      <c r="G98" s="49" t="n">
        <v>0</v>
      </c>
      <c r="H98" s="50" t="n">
        <f aca="false">IFERROR($F98/SUM($F$5:$F$175),"")</f>
        <v>0.0052377164535275</v>
      </c>
    </row>
    <row r="99" customFormat="false" ht="15" hidden="false" customHeight="false" outlineLevel="0" collapsed="false">
      <c r="A99" s="46" t="s">
        <v>639</v>
      </c>
      <c r="B99" s="47" t="s">
        <v>729</v>
      </c>
      <c r="C99" s="46" t="s">
        <v>103</v>
      </c>
      <c r="D99" s="46" t="s">
        <v>106</v>
      </c>
      <c r="E99" s="48" t="s">
        <v>643</v>
      </c>
      <c r="F99" s="49" t="n">
        <v>364</v>
      </c>
      <c r="G99" s="49" t="n">
        <v>8</v>
      </c>
      <c r="H99" s="50" t="n">
        <f aca="false">IFERROR($F99/SUM($F$5:$F$175),"")</f>
        <v>0.00445450651655143</v>
      </c>
    </row>
    <row r="100" customFormat="false" ht="15" hidden="false" customHeight="false" outlineLevel="0" collapsed="false">
      <c r="A100" s="46" t="s">
        <v>639</v>
      </c>
      <c r="B100" s="47" t="s">
        <v>730</v>
      </c>
      <c r="C100" s="46" t="s">
        <v>103</v>
      </c>
      <c r="D100" s="46" t="s">
        <v>106</v>
      </c>
      <c r="E100" s="48" t="s">
        <v>643</v>
      </c>
      <c r="F100" s="49" t="n">
        <v>267</v>
      </c>
      <c r="G100" s="49" t="n">
        <v>9</v>
      </c>
      <c r="H100" s="50" t="n">
        <f aca="false">IFERROR($F100/SUM($F$5:$F$175),"")</f>
        <v>0.00326745395582206</v>
      </c>
    </row>
    <row r="101" customFormat="false" ht="15" hidden="false" customHeight="false" outlineLevel="0" collapsed="false">
      <c r="A101" s="46" t="s">
        <v>639</v>
      </c>
      <c r="B101" s="47" t="s">
        <v>731</v>
      </c>
      <c r="C101" s="46" t="s">
        <v>103</v>
      </c>
      <c r="D101" s="46" t="s">
        <v>106</v>
      </c>
      <c r="E101" s="48" t="s">
        <v>641</v>
      </c>
      <c r="F101" s="49" t="n">
        <v>305</v>
      </c>
      <c r="G101" s="49" t="n">
        <v>0</v>
      </c>
      <c r="H101" s="50" t="n">
        <f aca="false">IFERROR($F101/SUM($F$5:$F$175),"")</f>
        <v>0.00373248485590161</v>
      </c>
    </row>
    <row r="102" customFormat="false" ht="15" hidden="false" customHeight="false" outlineLevel="0" collapsed="false">
      <c r="A102" s="46" t="s">
        <v>639</v>
      </c>
      <c r="B102" s="47" t="s">
        <v>732</v>
      </c>
      <c r="C102" s="46" t="s">
        <v>103</v>
      </c>
      <c r="D102" s="46" t="s">
        <v>106</v>
      </c>
      <c r="E102" s="48" t="s">
        <v>643</v>
      </c>
      <c r="F102" s="49" t="n">
        <v>508</v>
      </c>
      <c r="G102" s="49" t="n">
        <v>21</v>
      </c>
      <c r="H102" s="50" t="n">
        <f aca="false">IFERROR($F102/SUM($F$5:$F$175),"")</f>
        <v>0.0062167288747476</v>
      </c>
    </row>
    <row r="103" customFormat="false" ht="15" hidden="false" customHeight="false" outlineLevel="0" collapsed="false">
      <c r="A103" s="46" t="s">
        <v>639</v>
      </c>
      <c r="B103" s="47" t="s">
        <v>733</v>
      </c>
      <c r="C103" s="46" t="s">
        <v>103</v>
      </c>
      <c r="D103" s="46" t="s">
        <v>106</v>
      </c>
      <c r="E103" s="48" t="s">
        <v>643</v>
      </c>
      <c r="F103" s="49" t="n">
        <v>693</v>
      </c>
      <c r="G103" s="49" t="n">
        <v>24</v>
      </c>
      <c r="H103" s="50" t="n">
        <f aca="false">IFERROR($F103/SUM($F$5:$F$175),"")</f>
        <v>0.00848069509881907</v>
      </c>
    </row>
    <row r="104" customFormat="false" ht="15" hidden="false" customHeight="false" outlineLevel="0" collapsed="false">
      <c r="A104" s="46" t="s">
        <v>639</v>
      </c>
      <c r="B104" s="47" t="s">
        <v>734</v>
      </c>
      <c r="C104" s="46" t="s">
        <v>103</v>
      </c>
      <c r="D104" s="46" t="s">
        <v>106</v>
      </c>
      <c r="E104" s="48" t="s">
        <v>641</v>
      </c>
      <c r="F104" s="49" t="n">
        <v>524</v>
      </c>
      <c r="G104" s="49" t="n">
        <v>0</v>
      </c>
      <c r="H104" s="50" t="n">
        <f aca="false">IFERROR($F104/SUM($F$5:$F$175),"")</f>
        <v>0.00641253135899162</v>
      </c>
    </row>
    <row r="105" customFormat="false" ht="15" hidden="false" customHeight="false" outlineLevel="0" collapsed="false">
      <c r="A105" s="46" t="s">
        <v>639</v>
      </c>
      <c r="B105" s="47" t="s">
        <v>735</v>
      </c>
      <c r="C105" s="46" t="s">
        <v>103</v>
      </c>
      <c r="D105" s="46" t="s">
        <v>106</v>
      </c>
      <c r="E105" s="48" t="s">
        <v>643</v>
      </c>
      <c r="F105" s="49" t="n">
        <v>460</v>
      </c>
      <c r="G105" s="49" t="n">
        <v>18</v>
      </c>
      <c r="H105" s="50" t="n">
        <f aca="false">IFERROR($F105/SUM($F$5:$F$175),"")</f>
        <v>0.00562932142201554</v>
      </c>
    </row>
    <row r="106" customFormat="false" ht="15" hidden="false" customHeight="false" outlineLevel="0" collapsed="false">
      <c r="A106" s="46" t="s">
        <v>639</v>
      </c>
      <c r="B106" s="47" t="s">
        <v>736</v>
      </c>
      <c r="C106" s="46" t="s">
        <v>103</v>
      </c>
      <c r="D106" s="46" t="s">
        <v>106</v>
      </c>
      <c r="E106" s="48" t="s">
        <v>641</v>
      </c>
      <c r="F106" s="49" t="n">
        <v>2452</v>
      </c>
      <c r="G106" s="49" t="n">
        <v>0</v>
      </c>
      <c r="H106" s="50" t="n">
        <f aca="false">IFERROR($F106/SUM($F$5:$F$175),"")</f>
        <v>0.0300067307103959</v>
      </c>
    </row>
    <row r="107" customFormat="false" ht="15" hidden="false" customHeight="false" outlineLevel="0" collapsed="false">
      <c r="A107" s="46" t="s">
        <v>639</v>
      </c>
      <c r="B107" s="47" t="s">
        <v>737</v>
      </c>
      <c r="C107" s="46" t="s">
        <v>103</v>
      </c>
      <c r="D107" s="46" t="s">
        <v>106</v>
      </c>
      <c r="E107" s="48" t="s">
        <v>643</v>
      </c>
      <c r="F107" s="49" t="n">
        <v>182</v>
      </c>
      <c r="G107" s="49" t="n">
        <v>3</v>
      </c>
      <c r="H107" s="50" t="n">
        <f aca="false">IFERROR($F107/SUM($F$5:$F$175),"")</f>
        <v>0.00222725325827571</v>
      </c>
    </row>
    <row r="108" customFormat="false" ht="15" hidden="false" customHeight="false" outlineLevel="0" collapsed="false">
      <c r="A108" s="46" t="s">
        <v>639</v>
      </c>
      <c r="B108" s="47" t="s">
        <v>738</v>
      </c>
      <c r="C108" s="46" t="s">
        <v>103</v>
      </c>
      <c r="D108" s="46" t="s">
        <v>106</v>
      </c>
      <c r="E108" s="48" t="s">
        <v>643</v>
      </c>
      <c r="F108" s="49" t="n">
        <v>757</v>
      </c>
      <c r="G108" s="49" t="n">
        <v>15</v>
      </c>
      <c r="H108" s="50" t="n">
        <f aca="false">IFERROR($F108/SUM($F$5:$F$175),"")</f>
        <v>0.00926390503579514</v>
      </c>
    </row>
    <row r="109" customFormat="false" ht="15" hidden="false" customHeight="false" outlineLevel="0" collapsed="false">
      <c r="A109" s="46" t="s">
        <v>639</v>
      </c>
      <c r="B109" s="47" t="s">
        <v>739</v>
      </c>
      <c r="C109" s="46" t="s">
        <v>103</v>
      </c>
      <c r="D109" s="46" t="s">
        <v>106</v>
      </c>
      <c r="E109" s="48" t="s">
        <v>641</v>
      </c>
      <c r="F109" s="49" t="n">
        <v>559</v>
      </c>
      <c r="G109" s="49" t="n">
        <v>0</v>
      </c>
      <c r="H109" s="50" t="n">
        <f aca="false">IFERROR($F109/SUM($F$5:$F$175),"")</f>
        <v>0.00684084929327541</v>
      </c>
    </row>
    <row r="110" customFormat="false" ht="15" hidden="false" customHeight="false" outlineLevel="0" collapsed="false">
      <c r="A110" s="46" t="s">
        <v>639</v>
      </c>
      <c r="B110" s="47" t="s">
        <v>740</v>
      </c>
      <c r="C110" s="46" t="s">
        <v>103</v>
      </c>
      <c r="D110" s="46" t="s">
        <v>106</v>
      </c>
      <c r="E110" s="48" t="s">
        <v>643</v>
      </c>
      <c r="F110" s="49" t="n">
        <v>527</v>
      </c>
      <c r="G110" s="49" t="n">
        <v>17</v>
      </c>
      <c r="H110" s="50" t="n">
        <f aca="false">IFERROR($F110/SUM($F$5:$F$175),"")</f>
        <v>0.00644924432478737</v>
      </c>
    </row>
    <row r="111" customFormat="false" ht="15" hidden="false" customHeight="false" outlineLevel="0" collapsed="false">
      <c r="A111" s="46" t="s">
        <v>639</v>
      </c>
      <c r="B111" s="47" t="s">
        <v>741</v>
      </c>
      <c r="C111" s="46" t="s">
        <v>103</v>
      </c>
      <c r="D111" s="46" t="s">
        <v>106</v>
      </c>
      <c r="E111" s="48" t="s">
        <v>641</v>
      </c>
      <c r="F111" s="49" t="n">
        <v>851</v>
      </c>
      <c r="G111" s="49" t="n">
        <v>0</v>
      </c>
      <c r="H111" s="50" t="n">
        <f aca="false">IFERROR($F111/SUM($F$5:$F$175),"")</f>
        <v>0.0104142446307288</v>
      </c>
    </row>
    <row r="112" customFormat="false" ht="15" hidden="false" customHeight="false" outlineLevel="0" collapsed="false">
      <c r="A112" s="46" t="s">
        <v>639</v>
      </c>
      <c r="B112" s="47" t="s">
        <v>742</v>
      </c>
      <c r="C112" s="46" t="s">
        <v>103</v>
      </c>
      <c r="D112" s="46" t="s">
        <v>106</v>
      </c>
      <c r="E112" s="48" t="s">
        <v>643</v>
      </c>
      <c r="F112" s="49" t="n">
        <v>534</v>
      </c>
      <c r="G112" s="49" t="n">
        <v>12</v>
      </c>
      <c r="H112" s="50" t="n">
        <f aca="false">IFERROR($F112/SUM($F$5:$F$175),"")</f>
        <v>0.00653490791164413</v>
      </c>
    </row>
    <row r="113" customFormat="false" ht="15" hidden="false" customHeight="false" outlineLevel="0" collapsed="false">
      <c r="A113" s="46" t="s">
        <v>639</v>
      </c>
      <c r="B113" s="47" t="s">
        <v>743</v>
      </c>
      <c r="C113" s="46" t="s">
        <v>103</v>
      </c>
      <c r="D113" s="46" t="s">
        <v>106</v>
      </c>
      <c r="E113" s="48" t="s">
        <v>641</v>
      </c>
      <c r="F113" s="49" t="n">
        <v>982</v>
      </c>
      <c r="G113" s="49" t="n">
        <v>0</v>
      </c>
      <c r="H113" s="50" t="n">
        <f aca="false">IFERROR($F113/SUM($F$5:$F$175),"")</f>
        <v>0.0120173774704767</v>
      </c>
    </row>
    <row r="114" customFormat="false" ht="15" hidden="false" customHeight="false" outlineLevel="0" collapsed="false">
      <c r="A114" s="46" t="s">
        <v>639</v>
      </c>
      <c r="B114" s="47" t="s">
        <v>744</v>
      </c>
      <c r="C114" s="46" t="s">
        <v>103</v>
      </c>
      <c r="D114" s="46" t="s">
        <v>106</v>
      </c>
      <c r="E114" s="48" t="s">
        <v>643</v>
      </c>
      <c r="F114" s="49" t="n">
        <v>646</v>
      </c>
      <c r="G114" s="49" t="n">
        <v>19</v>
      </c>
      <c r="H114" s="50" t="n">
        <f aca="false">IFERROR($F114/SUM($F$5:$F$175),"")</f>
        <v>0.00790552530135226</v>
      </c>
    </row>
    <row r="115" customFormat="false" ht="15" hidden="false" customHeight="false" outlineLevel="0" collapsed="false">
      <c r="A115" s="46" t="s">
        <v>639</v>
      </c>
      <c r="B115" s="47" t="s">
        <v>745</v>
      </c>
      <c r="C115" s="46" t="s">
        <v>103</v>
      </c>
      <c r="D115" s="46" t="s">
        <v>106</v>
      </c>
      <c r="E115" s="48" t="s">
        <v>643</v>
      </c>
      <c r="F115" s="49" t="n">
        <v>415</v>
      </c>
      <c r="G115" s="49" t="n">
        <v>21</v>
      </c>
      <c r="H115" s="50" t="n">
        <f aca="false">IFERROR($F115/SUM($F$5:$F$175),"")</f>
        <v>0.00507862693507924</v>
      </c>
    </row>
    <row r="116" customFormat="false" ht="15" hidden="false" customHeight="false" outlineLevel="0" collapsed="false">
      <c r="A116" s="46" t="s">
        <v>639</v>
      </c>
      <c r="B116" s="47" t="s">
        <v>746</v>
      </c>
      <c r="C116" s="46" t="s">
        <v>103</v>
      </c>
      <c r="D116" s="46" t="s">
        <v>106</v>
      </c>
      <c r="E116" s="48" t="s">
        <v>641</v>
      </c>
      <c r="F116" s="49" t="n">
        <v>817</v>
      </c>
      <c r="G116" s="49" t="n">
        <v>0</v>
      </c>
      <c r="H116" s="50" t="n">
        <f aca="false">IFERROR($F116/SUM($F$5:$F$175),"")</f>
        <v>0.00999816435171021</v>
      </c>
    </row>
    <row r="117" customFormat="false" ht="15" hidden="false" customHeight="false" outlineLevel="0" collapsed="false">
      <c r="A117" s="46" t="s">
        <v>639</v>
      </c>
      <c r="B117" s="47" t="s">
        <v>747</v>
      </c>
      <c r="C117" s="46" t="s">
        <v>103</v>
      </c>
      <c r="D117" s="46" t="s">
        <v>106</v>
      </c>
      <c r="E117" s="48" t="s">
        <v>643</v>
      </c>
      <c r="F117" s="49" t="n">
        <v>652</v>
      </c>
      <c r="G117" s="49" t="n">
        <v>19</v>
      </c>
      <c r="H117" s="50" t="n">
        <f aca="false">IFERROR($F117/SUM($F$5:$F$175),"")</f>
        <v>0.00797895123294377</v>
      </c>
    </row>
    <row r="118" customFormat="false" ht="15" hidden="false" customHeight="false" outlineLevel="0" collapsed="false">
      <c r="A118" s="46" t="s">
        <v>639</v>
      </c>
      <c r="B118" s="47" t="s">
        <v>748</v>
      </c>
      <c r="C118" s="46" t="s">
        <v>103</v>
      </c>
      <c r="D118" s="46" t="s">
        <v>110</v>
      </c>
      <c r="E118" s="48" t="s">
        <v>641</v>
      </c>
      <c r="F118" s="49" t="n">
        <v>349</v>
      </c>
      <c r="G118" s="49" t="n">
        <v>0</v>
      </c>
      <c r="H118" s="50" t="n">
        <f aca="false">IFERROR($F118/SUM($F$5:$F$175),"")</f>
        <v>0.00427094168757266</v>
      </c>
    </row>
    <row r="119" customFormat="false" ht="15" hidden="false" customHeight="false" outlineLevel="0" collapsed="false">
      <c r="A119" s="46" t="s">
        <v>639</v>
      </c>
      <c r="B119" s="47" t="s">
        <v>749</v>
      </c>
      <c r="C119" s="46" t="s">
        <v>103</v>
      </c>
      <c r="D119" s="46" t="s">
        <v>110</v>
      </c>
      <c r="E119" s="48" t="s">
        <v>643</v>
      </c>
      <c r="F119" s="49" t="n">
        <v>290</v>
      </c>
      <c r="G119" s="49" t="n">
        <v>10</v>
      </c>
      <c r="H119" s="50" t="n">
        <f aca="false">IFERROR($F119/SUM($F$5:$F$175),"")</f>
        <v>0.00354892002692284</v>
      </c>
    </row>
    <row r="120" customFormat="false" ht="15" hidden="false" customHeight="false" outlineLevel="0" collapsed="false">
      <c r="A120" s="46" t="s">
        <v>639</v>
      </c>
      <c r="B120" s="47" t="s">
        <v>750</v>
      </c>
      <c r="C120" s="46" t="s">
        <v>103</v>
      </c>
      <c r="D120" s="46" t="s">
        <v>110</v>
      </c>
      <c r="E120" s="48" t="s">
        <v>641</v>
      </c>
      <c r="F120" s="49" t="n">
        <v>28</v>
      </c>
      <c r="G120" s="49" t="n">
        <v>0</v>
      </c>
      <c r="H120" s="50" t="n">
        <f aca="false">IFERROR($F120/SUM($F$5:$F$175),"")</f>
        <v>0.000342654347427033</v>
      </c>
    </row>
    <row r="121" customFormat="false" ht="15" hidden="false" customHeight="false" outlineLevel="0" collapsed="false">
      <c r="A121" s="46" t="s">
        <v>639</v>
      </c>
      <c r="B121" s="47" t="s">
        <v>751</v>
      </c>
      <c r="C121" s="46" t="s">
        <v>103</v>
      </c>
      <c r="D121" s="46" t="s">
        <v>110</v>
      </c>
      <c r="E121" s="48" t="s">
        <v>643</v>
      </c>
      <c r="F121" s="49" t="n">
        <v>119</v>
      </c>
      <c r="G121" s="49" t="n">
        <v>18</v>
      </c>
      <c r="H121" s="50" t="n">
        <f aca="false">IFERROR($F121/SUM($F$5:$F$175),"")</f>
        <v>0.00145628097656489</v>
      </c>
    </row>
    <row r="122" customFormat="false" ht="15" hidden="false" customHeight="false" outlineLevel="0" collapsed="false">
      <c r="A122" s="46" t="s">
        <v>639</v>
      </c>
      <c r="B122" s="47" t="s">
        <v>752</v>
      </c>
      <c r="C122" s="46" t="s">
        <v>103</v>
      </c>
      <c r="D122" s="46" t="s">
        <v>110</v>
      </c>
      <c r="E122" s="48" t="s">
        <v>641</v>
      </c>
      <c r="F122" s="49" t="n">
        <v>316</v>
      </c>
      <c r="G122" s="49" t="n">
        <v>3</v>
      </c>
      <c r="H122" s="50" t="n">
        <f aca="false">IFERROR($F122/SUM($F$5:$F$175),"")</f>
        <v>0.00386709906381937</v>
      </c>
    </row>
    <row r="123" customFormat="false" ht="15" hidden="false" customHeight="false" outlineLevel="0" collapsed="false">
      <c r="A123" s="46" t="s">
        <v>639</v>
      </c>
      <c r="B123" s="47" t="s">
        <v>753</v>
      </c>
      <c r="C123" s="46" t="s">
        <v>103</v>
      </c>
      <c r="D123" s="46" t="s">
        <v>108</v>
      </c>
      <c r="E123" s="48" t="s">
        <v>641</v>
      </c>
      <c r="F123" s="49" t="n">
        <v>721</v>
      </c>
      <c r="G123" s="49" t="n">
        <v>0</v>
      </c>
      <c r="H123" s="50" t="n">
        <f aca="false">IFERROR($F123/SUM($F$5:$F$175),"")</f>
        <v>0.0088233494462461</v>
      </c>
    </row>
    <row r="124" customFormat="false" ht="15" hidden="false" customHeight="false" outlineLevel="0" collapsed="false">
      <c r="A124" s="46" t="s">
        <v>639</v>
      </c>
      <c r="B124" s="47" t="s">
        <v>754</v>
      </c>
      <c r="C124" s="46" t="s">
        <v>103</v>
      </c>
      <c r="D124" s="46" t="s">
        <v>108</v>
      </c>
      <c r="E124" s="48" t="s">
        <v>643</v>
      </c>
      <c r="F124" s="49" t="n">
        <v>1445</v>
      </c>
      <c r="G124" s="49" t="n">
        <v>66</v>
      </c>
      <c r="H124" s="50" t="n">
        <f aca="false">IFERROR($F124/SUM($F$5:$F$175),"")</f>
        <v>0.017683411858288</v>
      </c>
    </row>
    <row r="125" customFormat="false" ht="15" hidden="false" customHeight="false" outlineLevel="0" collapsed="false">
      <c r="A125" s="46" t="s">
        <v>639</v>
      </c>
      <c r="B125" s="47" t="s">
        <v>283</v>
      </c>
      <c r="C125" s="46" t="s">
        <v>103</v>
      </c>
      <c r="D125" s="46" t="s">
        <v>108</v>
      </c>
      <c r="E125" s="48" t="s">
        <v>641</v>
      </c>
      <c r="F125" s="49" t="n">
        <v>790</v>
      </c>
      <c r="G125" s="49" t="n">
        <v>0</v>
      </c>
      <c r="H125" s="50" t="n">
        <f aca="false">IFERROR($F125/SUM($F$5:$F$175),"")</f>
        <v>0.00966774765954843</v>
      </c>
    </row>
    <row r="126" customFormat="false" ht="15" hidden="false" customHeight="false" outlineLevel="0" collapsed="false">
      <c r="A126" s="46" t="s">
        <v>639</v>
      </c>
      <c r="B126" s="47" t="s">
        <v>755</v>
      </c>
      <c r="C126" s="46" t="s">
        <v>103</v>
      </c>
      <c r="D126" s="46" t="s">
        <v>108</v>
      </c>
      <c r="E126" s="48" t="s">
        <v>643</v>
      </c>
      <c r="F126" s="49" t="n">
        <v>300</v>
      </c>
      <c r="G126" s="49" t="n">
        <v>5</v>
      </c>
      <c r="H126" s="50" t="n">
        <f aca="false">IFERROR($F126/SUM($F$5:$F$175),"")</f>
        <v>0.00367129657957535</v>
      </c>
    </row>
    <row r="127" customFormat="false" ht="15" hidden="false" customHeight="false" outlineLevel="0" collapsed="false">
      <c r="A127" s="46" t="s">
        <v>639</v>
      </c>
      <c r="B127" s="47" t="s">
        <v>756</v>
      </c>
      <c r="C127" s="46" t="s">
        <v>103</v>
      </c>
      <c r="D127" s="46" t="s">
        <v>108</v>
      </c>
      <c r="E127" s="48" t="s">
        <v>641</v>
      </c>
      <c r="F127" s="49" t="n">
        <v>268</v>
      </c>
      <c r="G127" s="49" t="n">
        <v>3</v>
      </c>
      <c r="H127" s="50" t="n">
        <f aca="false">IFERROR($F127/SUM($F$5:$F$175),"")</f>
        <v>0.00327969161108732</v>
      </c>
    </row>
    <row r="128" customFormat="false" ht="15" hidden="false" customHeight="false" outlineLevel="0" collapsed="false">
      <c r="A128" s="46" t="s">
        <v>639</v>
      </c>
      <c r="B128" s="47" t="s">
        <v>757</v>
      </c>
      <c r="C128" s="46" t="s">
        <v>103</v>
      </c>
      <c r="D128" s="46" t="s">
        <v>108</v>
      </c>
      <c r="E128" s="48" t="s">
        <v>643</v>
      </c>
      <c r="F128" s="49" t="n">
        <v>945</v>
      </c>
      <c r="G128" s="49" t="n">
        <v>20</v>
      </c>
      <c r="H128" s="50" t="n">
        <f aca="false">IFERROR($F128/SUM($F$5:$F$175),"")</f>
        <v>0.0115645842256624</v>
      </c>
    </row>
    <row r="129" customFormat="false" ht="15" hidden="false" customHeight="false" outlineLevel="0" collapsed="false">
      <c r="A129" s="46" t="s">
        <v>639</v>
      </c>
      <c r="B129" s="47" t="s">
        <v>758</v>
      </c>
      <c r="C129" s="46" t="s">
        <v>103</v>
      </c>
      <c r="D129" s="46" t="s">
        <v>108</v>
      </c>
      <c r="E129" s="48" t="s">
        <v>641</v>
      </c>
      <c r="F129" s="49" t="n">
        <v>1080</v>
      </c>
      <c r="G129" s="49" t="n">
        <v>0</v>
      </c>
      <c r="H129" s="50" t="n">
        <f aca="false">IFERROR($F129/SUM($F$5:$F$175),"")</f>
        <v>0.0132166676864713</v>
      </c>
    </row>
    <row r="130" customFormat="false" ht="15" hidden="false" customHeight="false" outlineLevel="0" collapsed="false">
      <c r="A130" s="46" t="s">
        <v>639</v>
      </c>
      <c r="B130" s="47" t="s">
        <v>759</v>
      </c>
      <c r="C130" s="46" t="s">
        <v>103</v>
      </c>
      <c r="D130" s="46" t="s">
        <v>108</v>
      </c>
      <c r="E130" s="48" t="s">
        <v>643</v>
      </c>
      <c r="F130" s="49" t="n">
        <v>308</v>
      </c>
      <c r="G130" s="49" t="n">
        <v>16</v>
      </c>
      <c r="H130" s="50" t="n">
        <f aca="false">IFERROR($F130/SUM($F$5:$F$175),"")</f>
        <v>0.00376919782169736</v>
      </c>
    </row>
    <row r="131" customFormat="false" ht="15" hidden="false" customHeight="false" outlineLevel="0" collapsed="false">
      <c r="A131" s="46" t="s">
        <v>639</v>
      </c>
      <c r="B131" s="47" t="s">
        <v>315</v>
      </c>
      <c r="C131" s="46" t="s">
        <v>103</v>
      </c>
      <c r="D131" s="46" t="s">
        <v>108</v>
      </c>
      <c r="E131" s="48" t="s">
        <v>641</v>
      </c>
      <c r="F131" s="49" t="n">
        <v>177</v>
      </c>
      <c r="G131" s="49" t="n">
        <v>0</v>
      </c>
      <c r="H131" s="50" t="n">
        <f aca="false">IFERROR($F131/SUM($F$5:$F$175),"")</f>
        <v>0.00216606498194946</v>
      </c>
    </row>
    <row r="132" customFormat="false" ht="15" hidden="false" customHeight="false" outlineLevel="0" collapsed="false">
      <c r="A132" s="46" t="s">
        <v>639</v>
      </c>
      <c r="B132" s="47" t="s">
        <v>760</v>
      </c>
      <c r="C132" s="46" t="s">
        <v>103</v>
      </c>
      <c r="D132" s="46" t="s">
        <v>108</v>
      </c>
      <c r="E132" s="48" t="s">
        <v>643</v>
      </c>
      <c r="F132" s="49" t="n">
        <v>490</v>
      </c>
      <c r="G132" s="49" t="n">
        <v>22</v>
      </c>
      <c r="H132" s="50" t="n">
        <f aca="false">IFERROR($F132/SUM($F$5:$F$175),"")</f>
        <v>0.00599645107997308</v>
      </c>
    </row>
    <row r="133" customFormat="false" ht="15" hidden="false" customHeight="false" outlineLevel="0" collapsed="false">
      <c r="A133" s="46" t="s">
        <v>639</v>
      </c>
      <c r="B133" s="47" t="s">
        <v>761</v>
      </c>
      <c r="C133" s="46" t="s">
        <v>103</v>
      </c>
      <c r="D133" s="46" t="s">
        <v>108</v>
      </c>
      <c r="E133" s="48" t="s">
        <v>641</v>
      </c>
      <c r="F133" s="49" t="n">
        <v>212</v>
      </c>
      <c r="G133" s="49" t="n">
        <v>0</v>
      </c>
      <c r="H133" s="50" t="n">
        <f aca="false">IFERROR($F133/SUM($F$5:$F$175),"")</f>
        <v>0.00259438291623325</v>
      </c>
    </row>
    <row r="134" customFormat="false" ht="15" hidden="false" customHeight="false" outlineLevel="0" collapsed="false">
      <c r="A134" s="46" t="s">
        <v>639</v>
      </c>
      <c r="B134" s="47" t="s">
        <v>762</v>
      </c>
      <c r="C134" s="46" t="s">
        <v>103</v>
      </c>
      <c r="D134" s="46" t="s">
        <v>108</v>
      </c>
      <c r="E134" s="48" t="s">
        <v>643</v>
      </c>
      <c r="F134" s="49" t="n">
        <v>180</v>
      </c>
      <c r="G134" s="49" t="n">
        <v>5</v>
      </c>
      <c r="H134" s="50" t="n">
        <f aca="false">IFERROR($F134/SUM($F$5:$F$175),"")</f>
        <v>0.00220277794774521</v>
      </c>
    </row>
    <row r="135" customFormat="false" ht="15" hidden="false" customHeight="false" outlineLevel="0" collapsed="false">
      <c r="A135" s="46" t="s">
        <v>639</v>
      </c>
      <c r="B135" s="47" t="s">
        <v>763</v>
      </c>
      <c r="C135" s="46" t="s">
        <v>103</v>
      </c>
      <c r="D135" s="46" t="s">
        <v>108</v>
      </c>
      <c r="E135" s="48" t="s">
        <v>643</v>
      </c>
      <c r="F135" s="49" t="n">
        <v>120</v>
      </c>
      <c r="G135" s="49" t="n">
        <v>6</v>
      </c>
      <c r="H135" s="50" t="n">
        <f aca="false">IFERROR($F135/SUM($F$5:$F$175),"")</f>
        <v>0.00146851863183014</v>
      </c>
    </row>
    <row r="136" customFormat="false" ht="15" hidden="false" customHeight="false" outlineLevel="0" collapsed="false">
      <c r="A136" s="46" t="s">
        <v>639</v>
      </c>
      <c r="B136" s="47" t="s">
        <v>764</v>
      </c>
      <c r="C136" s="46" t="s">
        <v>103</v>
      </c>
      <c r="D136" s="46" t="s">
        <v>108</v>
      </c>
      <c r="E136" s="48" t="s">
        <v>641</v>
      </c>
      <c r="F136" s="49" t="n">
        <v>234</v>
      </c>
      <c r="G136" s="49" t="n">
        <v>0</v>
      </c>
      <c r="H136" s="50" t="n">
        <f aca="false">IFERROR($F136/SUM($F$5:$F$175),"")</f>
        <v>0.00286361133206878</v>
      </c>
    </row>
    <row r="137" customFormat="false" ht="15" hidden="false" customHeight="false" outlineLevel="0" collapsed="false">
      <c r="A137" s="46" t="s">
        <v>639</v>
      </c>
      <c r="B137" s="47" t="s">
        <v>765</v>
      </c>
      <c r="C137" s="46" t="s">
        <v>103</v>
      </c>
      <c r="D137" s="46" t="s">
        <v>108</v>
      </c>
      <c r="E137" s="48" t="s">
        <v>643</v>
      </c>
      <c r="F137" s="49" t="n">
        <v>520</v>
      </c>
      <c r="G137" s="49" t="n">
        <v>22</v>
      </c>
      <c r="H137" s="50" t="n">
        <f aca="false">IFERROR($F137/SUM($F$5:$F$175),"")</f>
        <v>0.00636358073793061</v>
      </c>
    </row>
    <row r="138" customFormat="false" ht="15" hidden="false" customHeight="false" outlineLevel="0" collapsed="false">
      <c r="A138" s="46" t="s">
        <v>639</v>
      </c>
      <c r="B138" s="47" t="s">
        <v>766</v>
      </c>
      <c r="C138" s="46" t="s">
        <v>103</v>
      </c>
      <c r="D138" s="46" t="s">
        <v>110</v>
      </c>
      <c r="E138" s="48" t="s">
        <v>641</v>
      </c>
      <c r="F138" s="49" t="n">
        <v>150</v>
      </c>
      <c r="G138" s="49" t="n">
        <v>0</v>
      </c>
      <c r="H138" s="50" t="n">
        <f aca="false">IFERROR($F138/SUM($F$5:$F$175),"")</f>
        <v>0.00183564828978768</v>
      </c>
    </row>
    <row r="139" customFormat="false" ht="15" hidden="false" customHeight="false" outlineLevel="0" collapsed="false">
      <c r="A139" s="46" t="s">
        <v>639</v>
      </c>
      <c r="B139" s="47" t="s">
        <v>767</v>
      </c>
      <c r="C139" s="46" t="s">
        <v>103</v>
      </c>
      <c r="D139" s="46" t="s">
        <v>110</v>
      </c>
      <c r="E139" s="48" t="s">
        <v>643</v>
      </c>
      <c r="F139" s="49" t="n">
        <v>185</v>
      </c>
      <c r="G139" s="49" t="n">
        <v>18</v>
      </c>
      <c r="H139" s="50" t="n">
        <f aca="false">IFERROR($F139/SUM($F$5:$F$175),"")</f>
        <v>0.00226396622407147</v>
      </c>
    </row>
    <row r="140" customFormat="false" ht="15" hidden="false" customHeight="false" outlineLevel="0" collapsed="false">
      <c r="A140" s="46" t="s">
        <v>639</v>
      </c>
      <c r="B140" s="47" t="s">
        <v>768</v>
      </c>
      <c r="C140" s="46" t="s">
        <v>105</v>
      </c>
      <c r="D140" s="46" t="s">
        <v>110</v>
      </c>
      <c r="E140" s="48" t="s">
        <v>641</v>
      </c>
      <c r="F140" s="49" t="n">
        <v>223</v>
      </c>
      <c r="G140" s="49" t="n">
        <v>0</v>
      </c>
      <c r="H140" s="50" t="n">
        <f aca="false">IFERROR($F140/SUM($F$5:$F$175),"")</f>
        <v>0.00272899712415101</v>
      </c>
    </row>
    <row r="141" customFormat="false" ht="15" hidden="false" customHeight="false" outlineLevel="0" collapsed="false">
      <c r="A141" s="46" t="s">
        <v>639</v>
      </c>
      <c r="B141" s="47" t="s">
        <v>769</v>
      </c>
      <c r="C141" s="46" t="s">
        <v>105</v>
      </c>
      <c r="D141" s="46" t="s">
        <v>110</v>
      </c>
      <c r="E141" s="48" t="s">
        <v>643</v>
      </c>
      <c r="F141" s="49" t="n">
        <v>141</v>
      </c>
      <c r="G141" s="49" t="n">
        <v>4</v>
      </c>
      <c r="H141" s="50" t="n">
        <f aca="false">IFERROR($F141/SUM($F$5:$F$175),"")</f>
        <v>0.00172550939240042</v>
      </c>
    </row>
    <row r="142" customFormat="false" ht="15" hidden="false" customHeight="false" outlineLevel="0" collapsed="false">
      <c r="A142" s="46" t="s">
        <v>639</v>
      </c>
      <c r="B142" s="47" t="s">
        <v>770</v>
      </c>
      <c r="C142" s="46" t="s">
        <v>105</v>
      </c>
      <c r="D142" s="46" t="s">
        <v>110</v>
      </c>
      <c r="E142" s="48" t="s">
        <v>641</v>
      </c>
      <c r="F142" s="49" t="n">
        <v>614</v>
      </c>
      <c r="G142" s="49" t="n">
        <v>0</v>
      </c>
      <c r="H142" s="50" t="n">
        <f aca="false">IFERROR($F142/SUM($F$5:$F$175),"")</f>
        <v>0.00751392033286422</v>
      </c>
    </row>
    <row r="143" customFormat="false" ht="15" hidden="false" customHeight="false" outlineLevel="0" collapsed="false">
      <c r="A143" s="46" t="s">
        <v>639</v>
      </c>
      <c r="B143" s="47" t="s">
        <v>771</v>
      </c>
      <c r="C143" s="46" t="s">
        <v>105</v>
      </c>
      <c r="D143" s="46" t="s">
        <v>110</v>
      </c>
      <c r="E143" s="48" t="s">
        <v>643</v>
      </c>
      <c r="F143" s="49" t="n">
        <v>543</v>
      </c>
      <c r="G143" s="49" t="n">
        <v>49</v>
      </c>
      <c r="H143" s="50" t="n">
        <f aca="false">IFERROR($F143/SUM($F$5:$F$175),"")</f>
        <v>0.00664504680903139</v>
      </c>
    </row>
    <row r="144" customFormat="false" ht="15" hidden="false" customHeight="false" outlineLevel="0" collapsed="false">
      <c r="A144" s="46" t="s">
        <v>639</v>
      </c>
      <c r="B144" s="47" t="s">
        <v>772</v>
      </c>
      <c r="C144" s="46" t="s">
        <v>105</v>
      </c>
      <c r="D144" s="46" t="s">
        <v>110</v>
      </c>
      <c r="E144" s="48" t="s">
        <v>641</v>
      </c>
      <c r="F144" s="49" t="n">
        <v>5</v>
      </c>
      <c r="G144" s="49" t="n">
        <v>0</v>
      </c>
      <c r="H144" s="50" t="n">
        <f aca="false">IFERROR($F144/SUM($F$5:$F$175),"")</f>
        <v>6.11882763262559E-005</v>
      </c>
    </row>
    <row r="145" customFormat="false" ht="15" hidden="false" customHeight="false" outlineLevel="0" collapsed="false">
      <c r="A145" s="46" t="s">
        <v>639</v>
      </c>
      <c r="B145" s="47" t="s">
        <v>773</v>
      </c>
      <c r="C145" s="46" t="s">
        <v>105</v>
      </c>
      <c r="D145" s="46" t="s">
        <v>110</v>
      </c>
      <c r="E145" s="48" t="s">
        <v>641</v>
      </c>
      <c r="F145" s="49" t="n">
        <v>530</v>
      </c>
      <c r="G145" s="49" t="n">
        <v>0</v>
      </c>
      <c r="H145" s="50" t="n">
        <f aca="false">IFERROR($F145/SUM($F$5:$F$175),"")</f>
        <v>0.00648595729058312</v>
      </c>
    </row>
    <row r="146" customFormat="false" ht="15" hidden="false" customHeight="false" outlineLevel="0" collapsed="false">
      <c r="A146" s="46" t="s">
        <v>639</v>
      </c>
      <c r="B146" s="47" t="s">
        <v>774</v>
      </c>
      <c r="C146" s="46" t="s">
        <v>105</v>
      </c>
      <c r="D146" s="46" t="s">
        <v>110</v>
      </c>
      <c r="E146" s="48" t="s">
        <v>643</v>
      </c>
      <c r="F146" s="49" t="n">
        <v>610</v>
      </c>
      <c r="G146" s="49" t="n">
        <v>36</v>
      </c>
      <c r="H146" s="50" t="n">
        <f aca="false">IFERROR($F146/SUM($F$5:$F$175),"")</f>
        <v>0.00746496971180322</v>
      </c>
    </row>
    <row r="147" customFormat="false" ht="15" hidden="false" customHeight="false" outlineLevel="0" collapsed="false">
      <c r="A147" s="46" t="s">
        <v>639</v>
      </c>
      <c r="B147" s="47" t="s">
        <v>775</v>
      </c>
      <c r="C147" s="46" t="s">
        <v>105</v>
      </c>
      <c r="D147" s="46" t="s">
        <v>110</v>
      </c>
      <c r="E147" s="48" t="s">
        <v>641</v>
      </c>
      <c r="F147" s="49" t="n">
        <v>2232</v>
      </c>
      <c r="G147" s="49" t="n">
        <v>0</v>
      </c>
      <c r="H147" s="50" t="n">
        <f aca="false">IFERROR($F147/SUM($F$5:$F$175),"")</f>
        <v>0.0273144465520406</v>
      </c>
    </row>
    <row r="148" customFormat="false" ht="15" hidden="false" customHeight="false" outlineLevel="0" collapsed="false">
      <c r="A148" s="46" t="s">
        <v>639</v>
      </c>
      <c r="B148" s="47" t="s">
        <v>776</v>
      </c>
      <c r="C148" s="46" t="s">
        <v>105</v>
      </c>
      <c r="D148" s="46" t="s">
        <v>110</v>
      </c>
      <c r="E148" s="48" t="s">
        <v>643</v>
      </c>
      <c r="F148" s="49" t="n">
        <v>1427</v>
      </c>
      <c r="G148" s="49" t="n">
        <v>42</v>
      </c>
      <c r="H148" s="50" t="n">
        <f aca="false">IFERROR($F148/SUM($F$5:$F$175),"")</f>
        <v>0.0174631340635134</v>
      </c>
    </row>
    <row r="149" customFormat="false" ht="15" hidden="false" customHeight="false" outlineLevel="0" collapsed="false">
      <c r="A149" s="46" t="s">
        <v>639</v>
      </c>
      <c r="B149" s="47" t="s">
        <v>777</v>
      </c>
      <c r="C149" s="46" t="s">
        <v>105</v>
      </c>
      <c r="D149" s="46" t="s">
        <v>110</v>
      </c>
      <c r="E149" s="48" t="s">
        <v>643</v>
      </c>
      <c r="F149" s="49" t="n">
        <v>337</v>
      </c>
      <c r="G149" s="49" t="n">
        <v>10</v>
      </c>
      <c r="H149" s="50" t="n">
        <f aca="false">IFERROR($F149/SUM($F$5:$F$175),"")</f>
        <v>0.00412408982438965</v>
      </c>
    </row>
    <row r="150" customFormat="false" ht="15" hidden="false" customHeight="false" outlineLevel="0" collapsed="false">
      <c r="A150" s="46" t="s">
        <v>639</v>
      </c>
      <c r="B150" s="47" t="s">
        <v>778</v>
      </c>
      <c r="C150" s="46" t="s">
        <v>105</v>
      </c>
      <c r="D150" s="46" t="s">
        <v>110</v>
      </c>
      <c r="E150" s="48" t="s">
        <v>641</v>
      </c>
      <c r="F150" s="49" t="n">
        <v>727</v>
      </c>
      <c r="G150" s="49" t="n">
        <v>2</v>
      </c>
      <c r="H150" s="50" t="n">
        <f aca="false">IFERROR($F150/SUM($F$5:$F$175),"")</f>
        <v>0.00889677537783761</v>
      </c>
    </row>
    <row r="151" customFormat="false" ht="15" hidden="false" customHeight="false" outlineLevel="0" collapsed="false">
      <c r="A151" s="46" t="s">
        <v>639</v>
      </c>
      <c r="B151" s="47" t="s">
        <v>779</v>
      </c>
      <c r="C151" s="46" t="s">
        <v>105</v>
      </c>
      <c r="D151" s="46" t="s">
        <v>110</v>
      </c>
      <c r="E151" s="48" t="s">
        <v>643</v>
      </c>
      <c r="F151" s="49" t="n">
        <v>406</v>
      </c>
      <c r="G151" s="49" t="n">
        <v>15</v>
      </c>
      <c r="H151" s="50" t="n">
        <f aca="false">IFERROR($F151/SUM($F$5:$F$175),"")</f>
        <v>0.00496848803769198</v>
      </c>
    </row>
    <row r="152" customFormat="false" ht="15" hidden="false" customHeight="false" outlineLevel="0" collapsed="false">
      <c r="A152" s="46" t="s">
        <v>639</v>
      </c>
      <c r="B152" s="47" t="s">
        <v>780</v>
      </c>
      <c r="C152" s="46" t="s">
        <v>105</v>
      </c>
      <c r="D152" s="46" t="s">
        <v>110</v>
      </c>
      <c r="E152" s="48" t="s">
        <v>643</v>
      </c>
      <c r="F152" s="49" t="n">
        <v>1754</v>
      </c>
      <c r="G152" s="49" t="n">
        <v>34</v>
      </c>
      <c r="H152" s="50" t="n">
        <f aca="false">IFERROR($F152/SUM($F$5:$F$175),"")</f>
        <v>0.0214648473352506</v>
      </c>
    </row>
    <row r="153" customFormat="false" ht="15" hidden="false" customHeight="false" outlineLevel="0" collapsed="false">
      <c r="A153" s="46" t="s">
        <v>639</v>
      </c>
      <c r="B153" s="47" t="s">
        <v>781</v>
      </c>
      <c r="C153" s="46" t="s">
        <v>105</v>
      </c>
      <c r="D153" s="46" t="s">
        <v>110</v>
      </c>
      <c r="E153" s="48" t="s">
        <v>641</v>
      </c>
      <c r="F153" s="49" t="n">
        <v>56</v>
      </c>
      <c r="G153" s="49" t="n">
        <v>0</v>
      </c>
      <c r="H153" s="50" t="n">
        <f aca="false">IFERROR($F153/SUM($F$5:$F$175),"")</f>
        <v>0.000685308694854066</v>
      </c>
    </row>
    <row r="154" customFormat="false" ht="15" hidden="false" customHeight="false" outlineLevel="0" collapsed="false">
      <c r="A154" s="46" t="s">
        <v>639</v>
      </c>
      <c r="B154" s="47" t="s">
        <v>782</v>
      </c>
      <c r="C154" s="46" t="s">
        <v>105</v>
      </c>
      <c r="D154" s="46" t="s">
        <v>110</v>
      </c>
      <c r="E154" s="48" t="s">
        <v>643</v>
      </c>
      <c r="F154" s="49" t="n">
        <v>105</v>
      </c>
      <c r="G154" s="49" t="n">
        <v>9</v>
      </c>
      <c r="H154" s="50" t="n">
        <f aca="false">IFERROR($F154/SUM($F$5:$F$175),"")</f>
        <v>0.00128495380285137</v>
      </c>
    </row>
    <row r="155" customFormat="false" ht="15" hidden="false" customHeight="false" outlineLevel="0" collapsed="false">
      <c r="A155" s="46" t="s">
        <v>639</v>
      </c>
      <c r="B155" s="47" t="s">
        <v>783</v>
      </c>
      <c r="C155" s="46" t="s">
        <v>105</v>
      </c>
      <c r="D155" s="46" t="s">
        <v>110</v>
      </c>
      <c r="E155" s="48" t="s">
        <v>643</v>
      </c>
      <c r="F155" s="49" t="n">
        <v>379</v>
      </c>
      <c r="G155" s="49" t="n">
        <v>16</v>
      </c>
      <c r="H155" s="50" t="n">
        <f aca="false">IFERROR($F155/SUM($F$5:$F$175),"")</f>
        <v>0.0046380713455302</v>
      </c>
    </row>
    <row r="156" customFormat="false" ht="15" hidden="false" customHeight="false" outlineLevel="0" collapsed="false">
      <c r="A156" s="46" t="s">
        <v>639</v>
      </c>
      <c r="B156" s="47" t="s">
        <v>784</v>
      </c>
      <c r="C156" s="46" t="s">
        <v>105</v>
      </c>
      <c r="D156" s="46" t="s">
        <v>110</v>
      </c>
      <c r="E156" s="48" t="s">
        <v>643</v>
      </c>
      <c r="F156" s="49" t="n">
        <v>960</v>
      </c>
      <c r="G156" s="49" t="n">
        <v>19</v>
      </c>
      <c r="H156" s="50" t="n">
        <f aca="false">IFERROR($F156/SUM($F$5:$F$175),"")</f>
        <v>0.0117481490546411</v>
      </c>
    </row>
    <row r="157" customFormat="false" ht="15" hidden="false" customHeight="false" outlineLevel="0" collapsed="false">
      <c r="A157" s="46" t="s">
        <v>639</v>
      </c>
      <c r="B157" s="47" t="s">
        <v>785</v>
      </c>
      <c r="C157" s="46" t="s">
        <v>105</v>
      </c>
      <c r="D157" s="46" t="s">
        <v>110</v>
      </c>
      <c r="E157" s="48" t="s">
        <v>641</v>
      </c>
      <c r="F157" s="49" t="n">
        <v>1250</v>
      </c>
      <c r="G157" s="49" t="n">
        <v>0</v>
      </c>
      <c r="H157" s="50" t="n">
        <f aca="false">IFERROR($F157/SUM($F$5:$F$175),"")</f>
        <v>0.015297069081564</v>
      </c>
    </row>
    <row r="158" customFormat="false" ht="15" hidden="false" customHeight="false" outlineLevel="0" collapsed="false">
      <c r="A158" s="46" t="s">
        <v>639</v>
      </c>
      <c r="B158" s="47" t="s">
        <v>786</v>
      </c>
      <c r="C158" s="46" t="s">
        <v>105</v>
      </c>
      <c r="D158" s="46" t="s">
        <v>110</v>
      </c>
      <c r="E158" s="48" t="s">
        <v>643</v>
      </c>
      <c r="F158" s="49" t="n">
        <v>1356</v>
      </c>
      <c r="G158" s="49" t="n">
        <v>39</v>
      </c>
      <c r="H158" s="50" t="n">
        <f aca="false">IFERROR($F158/SUM($F$5:$F$175),"")</f>
        <v>0.0165942605396806</v>
      </c>
    </row>
    <row r="159" customFormat="false" ht="15" hidden="false" customHeight="false" outlineLevel="0" collapsed="false">
      <c r="A159" s="46" t="s">
        <v>639</v>
      </c>
      <c r="B159" s="47" t="s">
        <v>787</v>
      </c>
      <c r="C159" s="46" t="s">
        <v>105</v>
      </c>
      <c r="D159" s="46" t="s">
        <v>110</v>
      </c>
      <c r="E159" s="48" t="s">
        <v>643</v>
      </c>
      <c r="F159" s="49" t="n">
        <v>1392</v>
      </c>
      <c r="G159" s="49" t="n">
        <v>53</v>
      </c>
      <c r="H159" s="50" t="n">
        <f aca="false">IFERROR($F159/SUM($F$5:$F$175),"")</f>
        <v>0.0170348161292296</v>
      </c>
    </row>
    <row r="160" customFormat="false" ht="15" hidden="false" customHeight="false" outlineLevel="0" collapsed="false">
      <c r="A160" s="46" t="s">
        <v>639</v>
      </c>
      <c r="B160" s="47" t="s">
        <v>788</v>
      </c>
      <c r="C160" s="46" t="s">
        <v>105</v>
      </c>
      <c r="D160" s="46" t="s">
        <v>110</v>
      </c>
      <c r="E160" s="48" t="s">
        <v>641</v>
      </c>
      <c r="F160" s="49" t="n">
        <v>541</v>
      </c>
      <c r="G160" s="49" t="n">
        <v>0</v>
      </c>
      <c r="H160" s="50" t="n">
        <f aca="false">IFERROR($F160/SUM($F$5:$F$175),"")</f>
        <v>0.00662057149850089</v>
      </c>
    </row>
    <row r="161" customFormat="false" ht="15" hidden="false" customHeight="false" outlineLevel="0" collapsed="false">
      <c r="A161" s="46" t="s">
        <v>639</v>
      </c>
      <c r="B161" s="47" t="s">
        <v>789</v>
      </c>
      <c r="C161" s="46" t="s">
        <v>105</v>
      </c>
      <c r="D161" s="46" t="s">
        <v>110</v>
      </c>
      <c r="E161" s="48" t="s">
        <v>643</v>
      </c>
      <c r="F161" s="49" t="n">
        <v>355</v>
      </c>
      <c r="G161" s="49" t="n">
        <v>7</v>
      </c>
      <c r="H161" s="50" t="n">
        <f aca="false">IFERROR($F161/SUM($F$5:$F$175),"")</f>
        <v>0.00434436761916417</v>
      </c>
    </row>
    <row r="162" customFormat="false" ht="15" hidden="false" customHeight="false" outlineLevel="0" collapsed="false">
      <c r="A162" s="46" t="s">
        <v>639</v>
      </c>
      <c r="B162" s="47" t="s">
        <v>790</v>
      </c>
      <c r="C162" s="46" t="s">
        <v>105</v>
      </c>
      <c r="D162" s="46" t="s">
        <v>110</v>
      </c>
      <c r="E162" s="48" t="s">
        <v>643</v>
      </c>
      <c r="F162" s="49" t="n">
        <v>652</v>
      </c>
      <c r="G162" s="49" t="n">
        <v>11</v>
      </c>
      <c r="H162" s="50" t="n">
        <f aca="false">IFERROR($F162/SUM($F$5:$F$175),"")</f>
        <v>0.00797895123294377</v>
      </c>
    </row>
    <row r="163" customFormat="false" ht="15" hidden="false" customHeight="false" outlineLevel="0" collapsed="false">
      <c r="A163" s="46" t="s">
        <v>639</v>
      </c>
      <c r="B163" s="47" t="s">
        <v>791</v>
      </c>
      <c r="C163" s="46" t="s">
        <v>105</v>
      </c>
      <c r="D163" s="46" t="s">
        <v>110</v>
      </c>
      <c r="E163" s="48" t="s">
        <v>643</v>
      </c>
      <c r="F163" s="49" t="n">
        <v>770</v>
      </c>
      <c r="G163" s="49" t="n">
        <v>22</v>
      </c>
      <c r="H163" s="50" t="n">
        <f aca="false">IFERROR($F163/SUM($F$5:$F$175),"")</f>
        <v>0.00942299455424341</v>
      </c>
    </row>
    <row r="164" customFormat="false" ht="15" hidden="false" customHeight="false" outlineLevel="0" collapsed="false">
      <c r="A164" s="46" t="s">
        <v>639</v>
      </c>
      <c r="B164" s="47" t="s">
        <v>792</v>
      </c>
      <c r="C164" s="46" t="s">
        <v>105</v>
      </c>
      <c r="D164" s="46" t="s">
        <v>110</v>
      </c>
      <c r="E164" s="48" t="s">
        <v>643</v>
      </c>
      <c r="F164" s="49" t="n">
        <v>278</v>
      </c>
      <c r="G164" s="49" t="n">
        <v>8</v>
      </c>
      <c r="H164" s="50" t="n">
        <f aca="false">IFERROR($F164/SUM($F$5:$F$175),"")</f>
        <v>0.00340206816373983</v>
      </c>
    </row>
    <row r="165" customFormat="false" ht="15" hidden="false" customHeight="false" outlineLevel="0" collapsed="false">
      <c r="A165" s="46" t="s">
        <v>639</v>
      </c>
      <c r="B165" s="47" t="s">
        <v>793</v>
      </c>
      <c r="C165" s="46" t="s">
        <v>105</v>
      </c>
      <c r="D165" s="46" t="s">
        <v>110</v>
      </c>
      <c r="E165" s="48" t="s">
        <v>641</v>
      </c>
      <c r="F165" s="49" t="n">
        <v>763</v>
      </c>
      <c r="G165" s="49" t="n">
        <v>0</v>
      </c>
      <c r="H165" s="50" t="n">
        <f aca="false">IFERROR($F165/SUM($F$5:$F$175),"")</f>
        <v>0.00933733096738665</v>
      </c>
    </row>
    <row r="166" customFormat="false" ht="15" hidden="false" customHeight="false" outlineLevel="0" collapsed="false">
      <c r="A166" s="46" t="s">
        <v>639</v>
      </c>
      <c r="B166" s="47" t="s">
        <v>794</v>
      </c>
      <c r="C166" s="46" t="s">
        <v>105</v>
      </c>
      <c r="D166" s="46" t="s">
        <v>110</v>
      </c>
      <c r="E166" s="48" t="s">
        <v>643</v>
      </c>
      <c r="F166" s="49" t="n">
        <v>764</v>
      </c>
      <c r="G166" s="49" t="n">
        <v>20</v>
      </c>
      <c r="H166" s="50" t="n">
        <f aca="false">IFERROR($F166/SUM($F$5:$F$175),"")</f>
        <v>0.0093495686226519</v>
      </c>
    </row>
    <row r="167" customFormat="false" ht="15" hidden="false" customHeight="false" outlineLevel="0" collapsed="false">
      <c r="A167" s="46" t="s">
        <v>639</v>
      </c>
      <c r="B167" s="47" t="s">
        <v>795</v>
      </c>
      <c r="C167" s="46" t="s">
        <v>105</v>
      </c>
      <c r="D167" s="46" t="s">
        <v>110</v>
      </c>
      <c r="E167" s="48" t="s">
        <v>641</v>
      </c>
      <c r="F167" s="49" t="n">
        <v>1390</v>
      </c>
      <c r="G167" s="49" t="n">
        <v>0</v>
      </c>
      <c r="H167" s="50" t="n">
        <f aca="false">IFERROR($F167/SUM($F$5:$F$175),"")</f>
        <v>0.0170103408186991</v>
      </c>
    </row>
    <row r="168" customFormat="false" ht="15" hidden="false" customHeight="false" outlineLevel="0" collapsed="false">
      <c r="A168" s="46" t="s">
        <v>639</v>
      </c>
      <c r="B168" s="47" t="s">
        <v>796</v>
      </c>
      <c r="C168" s="46" t="s">
        <v>105</v>
      </c>
      <c r="D168" s="46" t="s">
        <v>110</v>
      </c>
      <c r="E168" s="48" t="s">
        <v>643</v>
      </c>
      <c r="F168" s="49" t="n">
        <v>666</v>
      </c>
      <c r="G168" s="49" t="n">
        <v>43</v>
      </c>
      <c r="H168" s="50" t="n">
        <f aca="false">IFERROR($F168/SUM($F$5:$F$175),"")</f>
        <v>0.00815027840665729</v>
      </c>
    </row>
    <row r="169" customFormat="false" ht="15" hidden="false" customHeight="false" outlineLevel="0" collapsed="false">
      <c r="A169" s="46" t="s">
        <v>639</v>
      </c>
      <c r="B169" s="47" t="s">
        <v>797</v>
      </c>
      <c r="C169" s="46" t="s">
        <v>105</v>
      </c>
      <c r="D169" s="46" t="s">
        <v>110</v>
      </c>
      <c r="E169" s="48" t="s">
        <v>643</v>
      </c>
      <c r="F169" s="49" t="n">
        <v>772</v>
      </c>
      <c r="G169" s="49" t="n">
        <v>20</v>
      </c>
      <c r="H169" s="50" t="n">
        <f aca="false">IFERROR($F169/SUM($F$5:$F$175),"")</f>
        <v>0.00944746986477391</v>
      </c>
    </row>
    <row r="170" customFormat="false" ht="15" hidden="false" customHeight="false" outlineLevel="0" collapsed="false">
      <c r="A170" s="46" t="s">
        <v>798</v>
      </c>
      <c r="B170" s="47" t="s">
        <v>799</v>
      </c>
      <c r="C170" s="46" t="s">
        <v>107</v>
      </c>
      <c r="D170" s="46" t="s">
        <v>110</v>
      </c>
      <c r="E170" s="48" t="s">
        <v>641</v>
      </c>
      <c r="F170" s="49" t="n">
        <v>400</v>
      </c>
      <c r="G170" s="49" t="n">
        <v>0</v>
      </c>
      <c r="H170" s="50" t="n">
        <f aca="false">IFERROR($F170/SUM($F$5:$F$175),"")</f>
        <v>0.00489506210610047</v>
      </c>
    </row>
    <row r="171" customFormat="false" ht="15" hidden="false" customHeight="false" outlineLevel="0" collapsed="false">
      <c r="A171" s="46" t="s">
        <v>798</v>
      </c>
      <c r="B171" s="47" t="s">
        <v>800</v>
      </c>
      <c r="C171" s="46" t="s">
        <v>107</v>
      </c>
      <c r="D171" s="46" t="s">
        <v>110</v>
      </c>
      <c r="E171" s="48" t="s">
        <v>643</v>
      </c>
      <c r="F171" s="49" t="n">
        <v>376</v>
      </c>
      <c r="G171" s="49" t="n">
        <v>15</v>
      </c>
      <c r="H171" s="50" t="n">
        <f aca="false">IFERROR($F171/SUM($F$5:$F$175),"")</f>
        <v>0.00460135837973444</v>
      </c>
    </row>
    <row r="172" customFormat="false" ht="15" hidden="false" customHeight="false" outlineLevel="0" collapsed="false">
      <c r="A172" s="46" t="s">
        <v>798</v>
      </c>
      <c r="B172" s="47" t="s">
        <v>801</v>
      </c>
      <c r="C172" s="46" t="s">
        <v>107</v>
      </c>
      <c r="D172" s="46" t="s">
        <v>110</v>
      </c>
      <c r="E172" s="48" t="s">
        <v>641</v>
      </c>
      <c r="F172" s="49" t="n">
        <v>286</v>
      </c>
      <c r="G172" s="49" t="n">
        <v>0</v>
      </c>
      <c r="H172" s="50" t="n">
        <f aca="false">IFERROR($F172/SUM($F$5:$F$175),"")</f>
        <v>0.00349996940586184</v>
      </c>
    </row>
    <row r="173" customFormat="false" ht="15" hidden="false" customHeight="false" outlineLevel="0" collapsed="false">
      <c r="A173" s="46" t="s">
        <v>798</v>
      </c>
      <c r="B173" s="47" t="s">
        <v>802</v>
      </c>
      <c r="C173" s="46" t="s">
        <v>107</v>
      </c>
      <c r="D173" s="46" t="s">
        <v>110</v>
      </c>
      <c r="E173" s="48" t="s">
        <v>643</v>
      </c>
      <c r="F173" s="49" t="n">
        <v>259</v>
      </c>
      <c r="G173" s="49" t="n">
        <v>16</v>
      </c>
      <c r="H173" s="50" t="n">
        <f aca="false">IFERROR($F173/SUM($F$5:$F$175),"")</f>
        <v>0.00316955271370006</v>
      </c>
    </row>
    <row r="174" customFormat="false" ht="15" hidden="false" customHeight="false" outlineLevel="0" collapsed="false">
      <c r="A174" s="46" t="s">
        <v>798</v>
      </c>
      <c r="B174" s="47" t="s">
        <v>803</v>
      </c>
      <c r="C174" s="46" t="s">
        <v>107</v>
      </c>
      <c r="D174" s="46" t="s">
        <v>110</v>
      </c>
      <c r="E174" s="48" t="s">
        <v>641</v>
      </c>
      <c r="F174" s="49" t="n">
        <v>307</v>
      </c>
      <c r="G174" s="49" t="n">
        <v>0</v>
      </c>
      <c r="H174" s="50" t="n">
        <f aca="false">IFERROR($F174/SUM($F$5:$F$175),"")</f>
        <v>0.00375696016643211</v>
      </c>
    </row>
    <row r="175" customFormat="false" ht="15" hidden="false" customHeight="false" outlineLevel="0" collapsed="false">
      <c r="A175" s="46" t="s">
        <v>798</v>
      </c>
      <c r="B175" s="47" t="s">
        <v>804</v>
      </c>
      <c r="C175" s="46" t="s">
        <v>107</v>
      </c>
      <c r="D175" s="46" t="s">
        <v>110</v>
      </c>
      <c r="E175" s="48" t="s">
        <v>643</v>
      </c>
      <c r="F175" s="49" t="n">
        <v>504</v>
      </c>
      <c r="G175" s="49" t="n">
        <v>16</v>
      </c>
      <c r="H175" s="50" t="n">
        <f aca="false">IFERROR($F175/SUM($F$5:$F$175),"")</f>
        <v>0.00616777825368659</v>
      </c>
    </row>
    <row r="177" customFormat="false" ht="21.75" hidden="false" customHeight="true" outlineLevel="0" collapsed="false">
      <c r="A177" s="25" t="s">
        <v>805</v>
      </c>
      <c r="B177" s="25"/>
      <c r="C177" s="25"/>
      <c r="D177" s="25"/>
      <c r="E177" s="25"/>
      <c r="F177" s="25"/>
      <c r="G177" s="25"/>
      <c r="H177" s="25"/>
    </row>
    <row r="178" customFormat="false" ht="15" hidden="false" customHeight="false" outlineLevel="0" collapsed="false">
      <c r="A178" s="27" t="s">
        <v>98</v>
      </c>
      <c r="B178" s="27" t="s">
        <v>409</v>
      </c>
      <c r="C178" s="27" t="s">
        <v>806</v>
      </c>
      <c r="D178" s="27" t="s">
        <v>99</v>
      </c>
      <c r="E178" s="27" t="s">
        <v>807</v>
      </c>
      <c r="F178" s="27" t="s">
        <v>808</v>
      </c>
      <c r="G178" s="26" t="s">
        <v>637</v>
      </c>
      <c r="H178" s="26" t="s">
        <v>638</v>
      </c>
    </row>
    <row r="179" customFormat="false" ht="15" hidden="false" customHeight="false" outlineLevel="0" collapsed="false">
      <c r="A179" s="51" t="s">
        <v>103</v>
      </c>
      <c r="B179" s="52" t="s">
        <v>809</v>
      </c>
      <c r="C179" s="53" t="n">
        <f aca="false">COUNTIF($C$5:$C$175,$A179)</f>
        <v>98</v>
      </c>
      <c r="D179" s="53" t="n">
        <f aca="false">SUMIFS($F$5:$F$175,$C$5:$C$175,$A179,$E$5:$E$175,"프로덕션")</f>
        <v>23334</v>
      </c>
      <c r="E179" s="53" t="n">
        <f aca="false">SUMIFS($F$5:$F$175,$C$5:$C$175,$A179,$E$5:$E$175,"테스트")</f>
        <v>21796</v>
      </c>
      <c r="F179" s="53" t="n">
        <f aca="false">$D179+$E179</f>
        <v>45130</v>
      </c>
      <c r="G179" s="53" t="n">
        <f aca="false">SUMIF($C$5:$C$175,$A179,$G$5:$G$175)</f>
        <v>773</v>
      </c>
      <c r="H179" s="54" t="n">
        <f aca="false">IFERROR($F179/SUM($F$5:$F$175),"")</f>
        <v>0.552285382120786</v>
      </c>
    </row>
    <row r="180" customFormat="false" ht="15" hidden="false" customHeight="false" outlineLevel="0" collapsed="false">
      <c r="A180" s="51" t="s">
        <v>105</v>
      </c>
      <c r="B180" s="52" t="s">
        <v>810</v>
      </c>
      <c r="C180" s="53" t="n">
        <f aca="false">COUNTIF($C$5:$C$175,$A180)</f>
        <v>30</v>
      </c>
      <c r="D180" s="53" t="n">
        <f aca="false">SUMIFS($F$5:$F$175,$C$5:$C$175,$A180,$E$5:$E$175,"프로덕션")</f>
        <v>8331</v>
      </c>
      <c r="E180" s="53" t="n">
        <f aca="false">SUMIFS($F$5:$F$175,$C$5:$C$175,$A180,$E$5:$E$175,"테스트")</f>
        <v>13667</v>
      </c>
      <c r="F180" s="53" t="n">
        <f aca="false">$D180+$E180</f>
        <v>21998</v>
      </c>
      <c r="G180" s="53" t="n">
        <f aca="false">SUMIF($C$5:$C$175,$A180,$G$5:$G$175)</f>
        <v>459</v>
      </c>
      <c r="H180" s="54" t="n">
        <f aca="false">IFERROR($F180/SUM($F$5:$F$175),"")</f>
        <v>0.269203940524995</v>
      </c>
    </row>
    <row r="181" customFormat="false" ht="15" hidden="false" customHeight="false" outlineLevel="0" collapsed="false">
      <c r="A181" s="51" t="s">
        <v>107</v>
      </c>
      <c r="B181" s="55" t="s">
        <v>811</v>
      </c>
      <c r="C181" s="53" t="n">
        <f aca="false">COUNTIF($C$5:$C$175,$A181)</f>
        <v>27</v>
      </c>
      <c r="D181" s="53" t="n">
        <f aca="false">SUMIFS($F$5:$F$175,$C$5:$C$175,$A181,$E$5:$E$175,"프로덕션")</f>
        <v>2727</v>
      </c>
      <c r="E181" s="53" t="n">
        <f aca="false">SUMIFS($F$5:$F$175,$C$5:$C$175,$A181,$E$5:$E$175,"테스트")</f>
        <v>4388</v>
      </c>
      <c r="F181" s="53" t="n">
        <f aca="false">$D181+$E181</f>
        <v>7115</v>
      </c>
      <c r="G181" s="53" t="n">
        <f aca="false">SUMIF($C$5:$C$175,$A181,$G$5:$G$175)</f>
        <v>240</v>
      </c>
      <c r="H181" s="54" t="n">
        <f aca="false">IFERROR($F181/SUM($F$5:$F$175),"")</f>
        <v>0.0870709172122621</v>
      </c>
    </row>
    <row r="182" customFormat="false" ht="15" hidden="false" customHeight="false" outlineLevel="0" collapsed="false">
      <c r="A182" s="51" t="s">
        <v>109</v>
      </c>
      <c r="B182" s="55" t="s">
        <v>812</v>
      </c>
      <c r="C182" s="53" t="n">
        <f aca="false">COUNTIF($C$5:$C$175,$A182)</f>
        <v>8</v>
      </c>
      <c r="D182" s="53" t="n">
        <f aca="false">SUMIFS($F$5:$F$175,$C$5:$C$175,$A182,$E$5:$E$175,"프로덕션")</f>
        <v>1184</v>
      </c>
      <c r="E182" s="53" t="n">
        <f aca="false">SUMIFS($F$5:$F$175,$C$5:$C$175,$A182,$E$5:$E$175,"테스트")</f>
        <v>730</v>
      </c>
      <c r="F182" s="53" t="n">
        <f aca="false">$D182+$E182</f>
        <v>1914</v>
      </c>
      <c r="G182" s="53" t="n">
        <f aca="false">SUMIF($C$5:$C$175,$A182,$G$5:$G$175)</f>
        <v>32</v>
      </c>
      <c r="H182" s="54" t="n">
        <f aca="false">IFERROR($F182/SUM($F$5:$F$175),"")</f>
        <v>0.0234228721776908</v>
      </c>
    </row>
    <row r="183" customFormat="false" ht="15" hidden="false" customHeight="false" outlineLevel="0" collapsed="false">
      <c r="A183" s="51" t="s">
        <v>111</v>
      </c>
      <c r="B183" s="55" t="s">
        <v>813</v>
      </c>
      <c r="C183" s="53" t="n">
        <f aca="false">COUNTIF($C$5:$C$175,$A183)</f>
        <v>8</v>
      </c>
      <c r="D183" s="53" t="n">
        <f aca="false">SUMIFS($F$5:$F$175,$C$5:$C$175,$A183,$E$5:$E$175,"프로덕션")</f>
        <v>0</v>
      </c>
      <c r="E183" s="53" t="n">
        <f aca="false">SUMIFS($F$5:$F$175,$C$5:$C$175,$A183,$E$5:$E$175,"테스트")</f>
        <v>5558</v>
      </c>
      <c r="F183" s="53" t="n">
        <f aca="false">$D183+$E183</f>
        <v>5558</v>
      </c>
      <c r="G183" s="53" t="n">
        <f aca="false">SUMIF($C$5:$C$175,$A183,$G$5:$G$175)</f>
        <v>158</v>
      </c>
      <c r="H183" s="54" t="n">
        <f aca="false">IFERROR($F183/SUM($F$5:$F$175),"")</f>
        <v>0.068016887964266</v>
      </c>
    </row>
    <row r="184" customFormat="false" ht="15" hidden="false" customHeight="false" outlineLevel="0" collapsed="false">
      <c r="A184" s="56" t="s">
        <v>814</v>
      </c>
      <c r="B184" s="57"/>
      <c r="C184" s="44" t="n">
        <f aca="false">SUM(C179:C183)</f>
        <v>171</v>
      </c>
      <c r="D184" s="44" t="n">
        <f aca="false">SUM(D179:D183)</f>
        <v>35576</v>
      </c>
      <c r="E184" s="44" t="n">
        <f aca="false">SUM(E179:E183)</f>
        <v>46139</v>
      </c>
      <c r="F184" s="44" t="n">
        <f aca="false">SUM(F179:F183)</f>
        <v>81715</v>
      </c>
      <c r="G184" s="44" t="n">
        <f aca="false">SUM(G179:G183)</f>
        <v>1662</v>
      </c>
      <c r="H184" s="45" t="n">
        <f aca="false">SUM(H179:H183)</f>
        <v>1</v>
      </c>
    </row>
    <row r="186" customFormat="false" ht="25.35" hidden="false" customHeight="true" outlineLevel="0" collapsed="false">
      <c r="A186" s="17" t="s">
        <v>815</v>
      </c>
      <c r="B186" s="17"/>
      <c r="C186" s="17"/>
      <c r="D186" s="17"/>
      <c r="E186" s="17"/>
      <c r="F186" s="17"/>
      <c r="G186" s="17"/>
      <c r="H186" s="17"/>
    </row>
  </sheetData>
  <mergeCells count="4">
    <mergeCell ref="A1:H1"/>
    <mergeCell ref="A2:H2"/>
    <mergeCell ref="A177:H177"/>
    <mergeCell ref="A186:H186"/>
  </mergeCells>
  <conditionalFormatting sqref="F5:F175">
    <cfRule type="dataBar" priority="2">
      <dataBar showValue="1" minLength="10" maxLength="90">
        <cfvo type="num" val="0"/>
        <cfvo type="max" val="0"/>
        <color rgb="FF638EC6"/>
      </dataBar>
      <extLst>
        <ext xmlns:x14="http://schemas.microsoft.com/office/spreadsheetml/2009/9/main" uri="{B025F937-C7B1-47D3-B67F-A62EFF666E3E}">
          <x14:id>{8F5290AC-4A19-4B00-B8A0-21A7575956C0}</x14:id>
        </ext>
      </extLst>
    </cfRule>
  </conditionalFormatting>
  <conditionalFormatting sqref="G5:G175">
    <cfRule type="colorScale" priority="3">
      <colorScale>
        <cfvo type="min" val="0"/>
        <cfvo type="percentile" val="50"/>
        <cfvo type="max" val="0"/>
        <color rgb="FFFFFFFF"/>
        <color rgb="FFFFEB9C"/>
        <color rgb="FF63BE7B"/>
      </colorScale>
    </cfRule>
  </conditionalFormatting>
  <conditionalFormatting sqref="E5:E175">
    <cfRule type="cellIs" priority="4" operator="equal" aboveAverage="0" equalAverage="0" bottom="0" percent="0" rank="0" text="" dxfId="53">
      <formula>"테스트"</formula>
    </cfRule>
  </conditionalFormatting>
  <conditionalFormatting sqref="F179:F183">
    <cfRule type="dataBar" priority="5">
      <dataBar showValue="1" minLength="10" maxLength="90">
        <cfvo type="num" val="0"/>
        <cfvo type="max" val="0"/>
        <color rgb="FFA9D08E"/>
      </dataBar>
      <extLst>
        <ext xmlns:x14="http://schemas.microsoft.com/office/spreadsheetml/2009/9/main" uri="{B025F937-C7B1-47D3-B67F-A62EFF666E3E}">
          <x14:id>{697A2D78-3F27-4597-9A83-C4551061BCF7}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5290AC-4A19-4B00-B8A0-21A7575956C0}">
            <x14:dataBar minLength="10" maxLength="90" axisPosition="none" gradient="true">
              <x14:cfvo type="num">
                <xm:f>0</xm:f>
              </x14:cfvo>
              <x14:cfvo type="max"/>
              <x14:negativeFillColor rgb="FF638EC6"/>
              <x14:axisColor rgb="FF000000"/>
            </x14:dataBar>
          </x14:cfRule>
          <xm:sqref>F5:F175</xm:sqref>
        </x14:conditionalFormatting>
        <x14:conditionalFormatting xmlns:xm="http://schemas.microsoft.com/office/excel/2006/main">
          <x14:cfRule type="dataBar" id="{697A2D78-3F27-4597-9A83-C4551061BCF7}">
            <x14:dataBar minLength="10" maxLength="90" axisPosition="none" gradient="true">
              <x14:cfvo type="num">
                <xm:f>0</xm:f>
              </x14:cfvo>
              <x14:cfvo type="max"/>
              <x14:negativeFillColor rgb="FFA9D08E"/>
              <x14:axisColor rgb="FF000000"/>
            </x14:dataBar>
          </x14:cfRule>
          <xm:sqref>F179:F183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78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816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8" t="s">
        <v>817</v>
      </c>
      <c r="B2" s="18"/>
      <c r="C2" s="18"/>
      <c r="D2" s="18"/>
      <c r="E2" s="18"/>
      <c r="F2" s="18"/>
      <c r="G2" s="18"/>
      <c r="H2" s="18"/>
    </row>
    <row r="4" customFormat="false" ht="31.5" hidden="false" customHeight="true" outlineLevel="0" collapsed="false">
      <c r="A4" s="27" t="s">
        <v>818</v>
      </c>
      <c r="B4" s="27" t="s">
        <v>819</v>
      </c>
      <c r="C4" s="27" t="s">
        <v>820</v>
      </c>
      <c r="D4" s="27" t="s">
        <v>821</v>
      </c>
      <c r="E4" s="27" t="s">
        <v>822</v>
      </c>
      <c r="F4" s="27" t="s">
        <v>823</v>
      </c>
      <c r="G4" s="27" t="s">
        <v>824</v>
      </c>
      <c r="H4" s="26" t="s">
        <v>825</v>
      </c>
    </row>
    <row r="5" customFormat="false" ht="15" hidden="false" customHeight="false" outlineLevel="0" collapsed="false">
      <c r="A5" s="58" t="n">
        <v>1</v>
      </c>
      <c r="B5" s="58" t="s">
        <v>826</v>
      </c>
      <c r="C5" s="59"/>
      <c r="D5" s="58" t="s">
        <v>827</v>
      </c>
      <c r="E5" s="60" t="s">
        <v>828</v>
      </c>
      <c r="F5" s="61" t="s">
        <v>829</v>
      </c>
      <c r="G5" s="62"/>
      <c r="H5" s="62" t="str">
        <f aca="false">IF($C5="","",$C5-$C$6)</f>
        <v/>
      </c>
    </row>
    <row r="6" customFormat="false" ht="26.85" hidden="false" customHeight="false" outlineLevel="0" collapsed="false">
      <c r="A6" s="58" t="n">
        <v>2</v>
      </c>
      <c r="B6" s="58" t="s">
        <v>830</v>
      </c>
      <c r="C6" s="59" t="n">
        <v>46080</v>
      </c>
      <c r="D6" s="58" t="s">
        <v>827</v>
      </c>
      <c r="E6" s="60" t="s">
        <v>831</v>
      </c>
      <c r="F6" s="63" t="s">
        <v>832</v>
      </c>
      <c r="G6" s="62" t="str">
        <f aca="false">IF(OR($C6="",$C5=""),"",$C6-$C5)</f>
        <v/>
      </c>
      <c r="H6" s="62" t="n">
        <f aca="false">IF($C6="","",$C6-$C$6)</f>
        <v>0</v>
      </c>
    </row>
    <row r="7" customFormat="false" ht="26.85" hidden="false" customHeight="false" outlineLevel="0" collapsed="false">
      <c r="A7" s="58" t="n">
        <v>3</v>
      </c>
      <c r="B7" s="58" t="s">
        <v>833</v>
      </c>
      <c r="C7" s="59" t="n">
        <v>46080</v>
      </c>
      <c r="D7" s="58" t="s">
        <v>827</v>
      </c>
      <c r="E7" s="60" t="s">
        <v>834</v>
      </c>
      <c r="F7" s="63" t="s">
        <v>835</v>
      </c>
      <c r="G7" s="62" t="n">
        <f aca="false">IF(OR($C7="",$C6=""),"",$C7-$C6)</f>
        <v>0</v>
      </c>
      <c r="H7" s="62" t="n">
        <f aca="false">IF($C7="","",$C7-$C$6)</f>
        <v>0</v>
      </c>
    </row>
    <row r="8" customFormat="false" ht="26.85" hidden="false" customHeight="false" outlineLevel="0" collapsed="false">
      <c r="A8" s="58" t="n">
        <v>4</v>
      </c>
      <c r="B8" s="58" t="s">
        <v>836</v>
      </c>
      <c r="C8" s="59" t="n">
        <v>46095</v>
      </c>
      <c r="D8" s="58" t="s">
        <v>827</v>
      </c>
      <c r="E8" s="60" t="s">
        <v>831</v>
      </c>
      <c r="F8" s="63" t="s">
        <v>837</v>
      </c>
      <c r="G8" s="62" t="n">
        <f aca="false">IF(OR($C8="",$C7=""),"",$C8-$C7)</f>
        <v>15</v>
      </c>
      <c r="H8" s="62" t="n">
        <f aca="false">IF($C8="","",$C8-$C$6)</f>
        <v>15</v>
      </c>
    </row>
    <row r="9" customFormat="false" ht="26.85" hidden="false" customHeight="false" outlineLevel="0" collapsed="false">
      <c r="A9" s="58" t="n">
        <v>5</v>
      </c>
      <c r="B9" s="58" t="s">
        <v>838</v>
      </c>
      <c r="C9" s="59" t="n">
        <v>46096</v>
      </c>
      <c r="D9" s="58" t="s">
        <v>827</v>
      </c>
      <c r="E9" s="60" t="s">
        <v>839</v>
      </c>
      <c r="F9" s="63" t="s">
        <v>840</v>
      </c>
      <c r="G9" s="62" t="n">
        <f aca="false">IF(OR($C9="",$C8=""),"",$C9-$C8)</f>
        <v>1</v>
      </c>
      <c r="H9" s="62" t="n">
        <f aca="false">IF($C9="","",$C9-$C$6)</f>
        <v>16</v>
      </c>
    </row>
    <row r="10" customFormat="false" ht="26.85" hidden="false" customHeight="false" outlineLevel="0" collapsed="false">
      <c r="A10" s="58" t="n">
        <v>6</v>
      </c>
      <c r="B10" s="58" t="s">
        <v>841</v>
      </c>
      <c r="C10" s="59" t="n">
        <v>46174</v>
      </c>
      <c r="D10" s="58" t="s">
        <v>827</v>
      </c>
      <c r="E10" s="60" t="s">
        <v>839</v>
      </c>
      <c r="F10" s="63" t="s">
        <v>842</v>
      </c>
      <c r="G10" s="62" t="n">
        <f aca="false">IF(OR($C10="",$C9=""),"",$C10-$C9)</f>
        <v>78</v>
      </c>
      <c r="H10" s="62" t="n">
        <f aca="false">IF($C10="","",$C10-$C$6)</f>
        <v>94</v>
      </c>
    </row>
    <row r="11" customFormat="false" ht="26.85" hidden="false" customHeight="false" outlineLevel="0" collapsed="false">
      <c r="A11" s="58" t="n">
        <v>7</v>
      </c>
      <c r="B11" s="58" t="s">
        <v>843</v>
      </c>
      <c r="C11" s="59" t="n">
        <v>46214</v>
      </c>
      <c r="D11" s="58" t="s">
        <v>827</v>
      </c>
      <c r="E11" s="60" t="s">
        <v>844</v>
      </c>
      <c r="F11" s="63" t="s">
        <v>845</v>
      </c>
      <c r="G11" s="62" t="n">
        <f aca="false">IF(OR($C11="",$C10=""),"",$C11-$C10)</f>
        <v>40</v>
      </c>
      <c r="H11" s="62" t="n">
        <f aca="false">IF($C11="","",$C11-$C$6)</f>
        <v>134</v>
      </c>
    </row>
    <row r="12" customFormat="false" ht="26.85" hidden="false" customHeight="false" outlineLevel="0" collapsed="false">
      <c r="A12" s="58" t="n">
        <v>8</v>
      </c>
      <c r="B12" s="58" t="s">
        <v>846</v>
      </c>
      <c r="C12" s="59" t="n">
        <v>46219</v>
      </c>
      <c r="D12" s="58" t="s">
        <v>827</v>
      </c>
      <c r="E12" s="60" t="s">
        <v>844</v>
      </c>
      <c r="F12" s="63" t="s">
        <v>847</v>
      </c>
      <c r="G12" s="62" t="n">
        <f aca="false">IF(OR($C12="",$C11=""),"",$C12-$C11)</f>
        <v>5</v>
      </c>
      <c r="H12" s="62" t="n">
        <f aca="false">IF($C12="","",$C12-$C$6)</f>
        <v>139</v>
      </c>
    </row>
    <row r="13" customFormat="false" ht="26.85" hidden="false" customHeight="false" outlineLevel="0" collapsed="false">
      <c r="A13" s="58" t="n">
        <v>9</v>
      </c>
      <c r="B13" s="58" t="s">
        <v>848</v>
      </c>
      <c r="C13" s="59" t="n">
        <v>46225</v>
      </c>
      <c r="D13" s="58" t="s">
        <v>827</v>
      </c>
      <c r="E13" s="60" t="s">
        <v>839</v>
      </c>
      <c r="F13" s="63" t="s">
        <v>849</v>
      </c>
      <c r="G13" s="62" t="n">
        <f aca="false">IF(OR($C13="",$C12=""),"",$C13-$C12)</f>
        <v>6</v>
      </c>
      <c r="H13" s="62" t="n">
        <f aca="false">IF($C13="","",$C13-$C$6)</f>
        <v>145</v>
      </c>
    </row>
    <row r="14" customFormat="false" ht="26.85" hidden="false" customHeight="false" outlineLevel="0" collapsed="false">
      <c r="A14" s="58" t="n">
        <v>10</v>
      </c>
      <c r="B14" s="58" t="s">
        <v>28</v>
      </c>
      <c r="C14" s="59" t="n">
        <v>46226</v>
      </c>
      <c r="D14" s="58" t="s">
        <v>850</v>
      </c>
      <c r="E14" s="60" t="s">
        <v>844</v>
      </c>
      <c r="F14" s="63" t="s">
        <v>851</v>
      </c>
      <c r="G14" s="62" t="n">
        <f aca="false">IF(OR($C14="",$C13=""),"",$C14-$C13)</f>
        <v>1</v>
      </c>
      <c r="H14" s="62" t="n">
        <f aca="false">IF($C14="","",$C14-$C$6)</f>
        <v>146</v>
      </c>
    </row>
    <row r="16" customFormat="false" ht="15" hidden="false" customHeight="false" outlineLevel="0" collapsed="false">
      <c r="E16" s="35" t="s">
        <v>852</v>
      </c>
      <c r="F16" s="36" t="n">
        <f aca="false">COUNTA($B$5:$B$14)</f>
        <v>10</v>
      </c>
    </row>
    <row r="17" customFormat="false" ht="15" hidden="false" customHeight="false" outlineLevel="0" collapsed="false">
      <c r="E17" s="35" t="s">
        <v>853</v>
      </c>
      <c r="F17" s="36" t="n">
        <f aca="false">COUNT($C$5:$C$14)</f>
        <v>9</v>
      </c>
    </row>
    <row r="18" customFormat="false" ht="15" hidden="false" customHeight="false" outlineLevel="0" collapsed="false">
      <c r="E18" s="35" t="s">
        <v>854</v>
      </c>
      <c r="F18" s="64" t="n">
        <f aca="false">IFERROR(ROUND(AVERAGE($G$6:$G$14),1),"")</f>
        <v>18.3</v>
      </c>
    </row>
    <row r="19" customFormat="false" ht="15" hidden="false" customHeight="false" outlineLevel="0" collapsed="false">
      <c r="E19" s="35" t="s">
        <v>855</v>
      </c>
      <c r="F19" s="65" t="str">
        <f aca="false">_xlfn.CONCAT(MIN($G$6:$G$14),"  /  ",MAX($G$6:$G$14))</f>
        <v>0  /  78</v>
      </c>
    </row>
    <row r="20" customFormat="false" ht="15" hidden="false" customHeight="false" outlineLevel="0" collapsed="false">
      <c r="E20" s="13" t="s">
        <v>856</v>
      </c>
      <c r="F20" s="66" t="n">
        <f aca="false">$C$14-$C$6</f>
        <v>146</v>
      </c>
    </row>
    <row r="21" customFormat="false" ht="15" hidden="false" customHeight="false" outlineLevel="0" collapsed="false">
      <c r="E21" s="13" t="s">
        <v>857</v>
      </c>
      <c r="F21" s="36" t="n">
        <f aca="false">COUNTIF($B$5:$B$14,"v0.6*")</f>
        <v>5</v>
      </c>
    </row>
    <row r="22" customFormat="false" ht="15" hidden="false" customHeight="true" outlineLevel="0" collapsed="false">
      <c r="A22" s="38" t="s">
        <v>858</v>
      </c>
      <c r="B22" s="38"/>
      <c r="C22" s="38"/>
      <c r="D22" s="38"/>
      <c r="E22" s="38"/>
      <c r="F22" s="38"/>
      <c r="G22" s="38"/>
      <c r="H22" s="38"/>
    </row>
  </sheetData>
  <autoFilter ref="A4:H14"/>
  <mergeCells count="3">
    <mergeCell ref="A1:H1"/>
    <mergeCell ref="A2:H2"/>
    <mergeCell ref="A22:H22"/>
  </mergeCells>
  <conditionalFormatting sqref="G5:G14">
    <cfRule type="dataBar" priority="2">
      <dataBar showValue="1" minLength="10" maxLength="90">
        <cfvo type="num" val="0"/>
        <cfvo type="max" val="0"/>
        <color rgb="FFFFB628"/>
      </dataBar>
      <extLst>
        <ext xmlns:x14="http://schemas.microsoft.com/office/spreadsheetml/2009/9/main" uri="{B025F937-C7B1-47D3-B67F-A62EFF666E3E}">
          <x14:id>{E36C3D46-8DF3-4E6A-9754-12B4873865AC}</x14:id>
        </ext>
      </extLst>
    </cfRule>
  </conditionalFormatting>
  <conditionalFormatting sqref="E5:E14">
    <cfRule type="cellIs" priority="3" operator="equal" aboveAverage="0" equalAverage="0" bottom="0" percent="0" rank="0" text="" dxfId="55">
      <formula>"버그 수정"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6C3D46-8DF3-4E6A-9754-12B4873865AC}">
            <x14:dataBar minLength="10" maxLength="90" axisPosition="none" gradient="true">
              <x14:cfvo type="num">
                <xm:f>0</xm:f>
              </x14:cfvo>
              <x14:cfvo type="max"/>
              <x14:negativeFillColor rgb="FFFFB628"/>
              <x14:axisColor rgb="FF000000"/>
            </x14:dataBar>
          </x14:cfRule>
          <xm:sqref>G5:G14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66"/>
  </cols>
  <sheetData>
    <row r="1" customFormat="false" ht="30" hidden="false" customHeight="true" outlineLevel="0" collapsed="false">
      <c r="A1" s="1" t="s">
        <v>859</v>
      </c>
      <c r="B1" s="1"/>
      <c r="C1" s="1"/>
      <c r="D1" s="1"/>
      <c r="E1" s="1"/>
    </row>
    <row r="2" customFormat="false" ht="18" hidden="false" customHeight="true" outlineLevel="0" collapsed="false">
      <c r="A2" s="18" t="s">
        <v>860</v>
      </c>
      <c r="B2" s="18"/>
      <c r="C2" s="18"/>
      <c r="D2" s="18"/>
      <c r="E2" s="18"/>
    </row>
    <row r="4" customFormat="false" ht="21.75" hidden="false" customHeight="true" outlineLevel="0" collapsed="false">
      <c r="A4" s="3" t="s">
        <v>861</v>
      </c>
      <c r="B4" s="3"/>
      <c r="C4" s="3"/>
      <c r="D4" s="3"/>
      <c r="E4" s="3"/>
    </row>
    <row r="5" customFormat="false" ht="15" hidden="false" customHeight="true" outlineLevel="0" collapsed="false">
      <c r="A5" s="17" t="s">
        <v>862</v>
      </c>
      <c r="B5" s="17"/>
      <c r="C5" s="17"/>
      <c r="D5" s="17"/>
      <c r="E5" s="17"/>
    </row>
    <row r="6" customFormat="false" ht="27.75" hidden="false" customHeight="true" outlineLevel="0" collapsed="false">
      <c r="A6" s="26"/>
      <c r="B6" s="27" t="s">
        <v>863</v>
      </c>
      <c r="C6" s="27" t="s">
        <v>864</v>
      </c>
      <c r="D6" s="27" t="s">
        <v>865</v>
      </c>
      <c r="E6" s="27" t="s">
        <v>866</v>
      </c>
    </row>
    <row r="7" customFormat="false" ht="15" hidden="false" customHeight="false" outlineLevel="0" collapsed="false">
      <c r="A7" s="40"/>
      <c r="B7" s="40" t="s">
        <v>867</v>
      </c>
      <c r="C7" s="40" t="s">
        <v>868</v>
      </c>
      <c r="D7" s="40" t="s">
        <v>869</v>
      </c>
      <c r="E7" s="31" t="s">
        <v>870</v>
      </c>
    </row>
    <row r="8" customFormat="false" ht="15" hidden="false" customHeight="false" outlineLevel="0" collapsed="false">
      <c r="A8" s="40"/>
      <c r="B8" s="40" t="s">
        <v>871</v>
      </c>
      <c r="C8" s="40" t="s">
        <v>872</v>
      </c>
      <c r="D8" s="40" t="s">
        <v>869</v>
      </c>
      <c r="E8" s="31" t="s">
        <v>873</v>
      </c>
    </row>
    <row r="9" customFormat="false" ht="15" hidden="false" customHeight="false" outlineLevel="0" collapsed="false">
      <c r="A9" s="40"/>
      <c r="B9" s="40" t="s">
        <v>874</v>
      </c>
      <c r="C9" s="40" t="s">
        <v>875</v>
      </c>
      <c r="D9" s="40" t="s">
        <v>869</v>
      </c>
      <c r="E9" s="31" t="s">
        <v>876</v>
      </c>
    </row>
    <row r="10" customFormat="false" ht="15" hidden="false" customHeight="false" outlineLevel="0" collapsed="false">
      <c r="A10" s="40"/>
      <c r="B10" s="40" t="s">
        <v>877</v>
      </c>
      <c r="C10" s="40" t="s">
        <v>878</v>
      </c>
      <c r="D10" s="40" t="s">
        <v>879</v>
      </c>
      <c r="E10" s="32" t="s">
        <v>880</v>
      </c>
    </row>
    <row r="11" customFormat="false" ht="15" hidden="false" customHeight="false" outlineLevel="0" collapsed="false">
      <c r="A11" s="40"/>
      <c r="B11" s="40" t="s">
        <v>881</v>
      </c>
      <c r="C11" s="40" t="s">
        <v>882</v>
      </c>
      <c r="D11" s="40" t="s">
        <v>879</v>
      </c>
      <c r="E11" s="32" t="s">
        <v>883</v>
      </c>
    </row>
    <row r="12" customFormat="false" ht="15" hidden="false" customHeight="false" outlineLevel="0" collapsed="false">
      <c r="A12" s="40"/>
      <c r="B12" s="40" t="s">
        <v>884</v>
      </c>
      <c r="C12" s="40" t="s">
        <v>885</v>
      </c>
      <c r="D12" s="40" t="s">
        <v>869</v>
      </c>
      <c r="E12" s="31" t="s">
        <v>886</v>
      </c>
    </row>
    <row r="13" customFormat="false" ht="15" hidden="false" customHeight="false" outlineLevel="0" collapsed="false">
      <c r="A13" s="40"/>
      <c r="B13" s="40" t="s">
        <v>887</v>
      </c>
      <c r="C13" s="40" t="s">
        <v>888</v>
      </c>
      <c r="D13" s="40" t="s">
        <v>869</v>
      </c>
      <c r="E13" s="32" t="s">
        <v>889</v>
      </c>
    </row>
    <row r="14" customFormat="false" ht="15" hidden="false" customHeight="false" outlineLevel="0" collapsed="false">
      <c r="A14" s="40"/>
      <c r="B14" s="40" t="s">
        <v>890</v>
      </c>
      <c r="C14" s="40" t="s">
        <v>578</v>
      </c>
      <c r="D14" s="40" t="s">
        <v>869</v>
      </c>
      <c r="E14" s="32" t="s">
        <v>891</v>
      </c>
    </row>
    <row r="15" customFormat="false" ht="15" hidden="false" customHeight="false" outlineLevel="0" collapsed="false">
      <c r="A15" s="40"/>
      <c r="B15" s="40" t="s">
        <v>892</v>
      </c>
      <c r="C15" s="40" t="s">
        <v>893</v>
      </c>
      <c r="D15" s="40" t="s">
        <v>869</v>
      </c>
      <c r="E15" s="31" t="s">
        <v>894</v>
      </c>
    </row>
    <row r="16" customFormat="false" ht="21.75" hidden="false" customHeight="true" outlineLevel="0" collapsed="false">
      <c r="A16" s="3" t="s">
        <v>895</v>
      </c>
      <c r="B16" s="3"/>
      <c r="C16" s="3"/>
      <c r="D16" s="3"/>
      <c r="E16" s="3"/>
    </row>
    <row r="17" customFormat="false" ht="15" hidden="false" customHeight="false" outlineLevel="0" collapsed="false">
      <c r="A17" s="26"/>
      <c r="B17" s="27" t="s">
        <v>403</v>
      </c>
      <c r="C17" s="27" t="s">
        <v>896</v>
      </c>
      <c r="D17" s="27" t="s">
        <v>897</v>
      </c>
      <c r="E17" s="27" t="s">
        <v>411</v>
      </c>
    </row>
    <row r="18" customFormat="false" ht="15" hidden="false" customHeight="false" outlineLevel="0" collapsed="false">
      <c r="A18" s="40"/>
      <c r="B18" s="39" t="s">
        <v>898</v>
      </c>
      <c r="C18" s="40" t="s">
        <v>899</v>
      </c>
      <c r="D18" s="67" t="n">
        <v>115</v>
      </c>
      <c r="E18" s="31" t="s">
        <v>900</v>
      </c>
    </row>
    <row r="19" customFormat="false" ht="15" hidden="false" customHeight="false" outlineLevel="0" collapsed="false">
      <c r="A19" s="40"/>
      <c r="B19" s="39" t="s">
        <v>901</v>
      </c>
      <c r="C19" s="40" t="s">
        <v>902</v>
      </c>
      <c r="D19" s="67" t="n">
        <v>92</v>
      </c>
      <c r="E19" s="31" t="s">
        <v>903</v>
      </c>
    </row>
    <row r="20" customFormat="false" ht="15" hidden="false" customHeight="false" outlineLevel="0" collapsed="false">
      <c r="A20" s="40"/>
      <c r="B20" s="39" t="s">
        <v>904</v>
      </c>
      <c r="C20" s="40" t="s">
        <v>905</v>
      </c>
      <c r="D20" s="67" t="n">
        <v>138</v>
      </c>
      <c r="E20" s="31" t="s">
        <v>906</v>
      </c>
    </row>
    <row r="21" customFormat="false" ht="15" hidden="false" customHeight="false" outlineLevel="0" collapsed="false">
      <c r="B21" s="56" t="s">
        <v>907</v>
      </c>
      <c r="C21" s="57"/>
      <c r="D21" s="44" t="n">
        <f aca="false">SUM($D$18:$D$20)</f>
        <v>345</v>
      </c>
      <c r="E21" s="68" t="s">
        <v>908</v>
      </c>
    </row>
    <row r="22" customFormat="false" ht="15" hidden="false" customHeight="false" outlineLevel="0" collapsed="false">
      <c r="A22" s="40"/>
      <c r="B22" s="39" t="s">
        <v>909</v>
      </c>
      <c r="C22" s="40" t="s">
        <v>910</v>
      </c>
      <c r="D22" s="67" t="n">
        <v>30</v>
      </c>
      <c r="E22" s="31" t="s">
        <v>911</v>
      </c>
    </row>
    <row r="23" customFormat="false" ht="15" hidden="false" customHeight="false" outlineLevel="0" collapsed="false">
      <c r="A23" s="40"/>
      <c r="B23" s="39" t="s">
        <v>912</v>
      </c>
      <c r="C23" s="40" t="s">
        <v>910</v>
      </c>
      <c r="D23" s="67" t="n">
        <v>30</v>
      </c>
      <c r="E23" s="31" t="s">
        <v>913</v>
      </c>
    </row>
    <row r="24" customFormat="false" ht="29.85" hidden="false" customHeight="false" outlineLevel="0" collapsed="false">
      <c r="A24" s="40"/>
      <c r="B24" s="39" t="s">
        <v>914</v>
      </c>
      <c r="C24" s="40" t="s">
        <v>915</v>
      </c>
      <c r="D24" s="67" t="n">
        <v>2695</v>
      </c>
      <c r="E24" s="32" t="s">
        <v>916</v>
      </c>
    </row>
    <row r="25" customFormat="false" ht="15" hidden="false" customHeight="false" outlineLevel="0" collapsed="false">
      <c r="A25" s="40"/>
      <c r="B25" s="39" t="s">
        <v>917</v>
      </c>
      <c r="C25" s="40" t="s">
        <v>918</v>
      </c>
      <c r="D25" s="67" t="n">
        <v>2</v>
      </c>
      <c r="E25" s="31" t="s">
        <v>919</v>
      </c>
    </row>
    <row r="27" customFormat="false" ht="21.75" hidden="false" customHeight="true" outlineLevel="0" collapsed="false">
      <c r="A27" s="3" t="s">
        <v>920</v>
      </c>
      <c r="B27" s="3"/>
      <c r="C27" s="3"/>
      <c r="D27" s="3"/>
      <c r="E27" s="3"/>
    </row>
    <row r="28" customFormat="false" ht="15" hidden="false" customHeight="false" outlineLevel="0" collapsed="false">
      <c r="A28" s="40"/>
      <c r="B28" s="39" t="s">
        <v>921</v>
      </c>
      <c r="C28" s="32" t="s">
        <v>922</v>
      </c>
      <c r="D28" s="67" t="n">
        <v>129</v>
      </c>
      <c r="E28" s="31" t="s">
        <v>923</v>
      </c>
    </row>
    <row r="29" customFormat="false" ht="23.85" hidden="false" customHeight="false" outlineLevel="0" collapsed="false">
      <c r="A29" s="40"/>
      <c r="B29" s="39" t="s">
        <v>924</v>
      </c>
      <c r="C29" s="32" t="s">
        <v>925</v>
      </c>
      <c r="D29" s="67"/>
      <c r="E29" s="31" t="s">
        <v>926</v>
      </c>
    </row>
    <row r="30" customFormat="false" ht="15" hidden="false" customHeight="false" outlineLevel="0" collapsed="false">
      <c r="A30" s="40"/>
      <c r="B30" s="40" t="s">
        <v>927</v>
      </c>
      <c r="C30" s="32" t="s">
        <v>666</v>
      </c>
      <c r="D30" s="67"/>
      <c r="E30" s="31" t="s">
        <v>928</v>
      </c>
    </row>
    <row r="31" customFormat="false" ht="29.85" hidden="false" customHeight="false" outlineLevel="0" collapsed="false">
      <c r="A31" s="40"/>
      <c r="B31" s="39" t="s">
        <v>929</v>
      </c>
      <c r="C31" s="32" t="s">
        <v>930</v>
      </c>
      <c r="D31" s="67"/>
      <c r="E31" s="32" t="s">
        <v>931</v>
      </c>
    </row>
    <row r="32" customFormat="false" ht="29.85" hidden="false" customHeight="false" outlineLevel="0" collapsed="false">
      <c r="A32" s="40"/>
      <c r="B32" s="39" t="s">
        <v>932</v>
      </c>
      <c r="C32" s="32" t="s">
        <v>933</v>
      </c>
      <c r="D32" s="67"/>
      <c r="E32" s="32" t="s">
        <v>934</v>
      </c>
    </row>
    <row r="33" customFormat="false" ht="23.85" hidden="false" customHeight="false" outlineLevel="0" collapsed="false">
      <c r="A33" s="40"/>
      <c r="B33" s="39" t="s">
        <v>935</v>
      </c>
      <c r="C33" s="32" t="s">
        <v>936</v>
      </c>
      <c r="D33" s="67"/>
      <c r="E33" s="31" t="s">
        <v>937</v>
      </c>
    </row>
    <row r="35" customFormat="false" ht="21.75" hidden="false" customHeight="true" outlineLevel="0" collapsed="false">
      <c r="A35" s="3" t="s">
        <v>938</v>
      </c>
      <c r="B35" s="3"/>
      <c r="C35" s="3"/>
      <c r="D35" s="3"/>
      <c r="E35" s="3"/>
    </row>
    <row r="36" customFormat="false" ht="15" hidden="false" customHeight="false" outlineLevel="0" collapsed="false">
      <c r="B36" s="20" t="s">
        <v>939</v>
      </c>
      <c r="C36" s="69"/>
      <c r="D36" s="66" t="n">
        <f aca="false">COUNTIF(05_모듈_인벤토리!$E$5:$E$175,"테스트")</f>
        <v>94</v>
      </c>
      <c r="E36" s="69"/>
    </row>
    <row r="37" customFormat="false" ht="15" hidden="false" customHeight="false" outlineLevel="0" collapsed="false">
      <c r="B37" s="20" t="s">
        <v>940</v>
      </c>
      <c r="C37" s="69"/>
      <c r="D37" s="66" t="n">
        <f aca="false">COUNTIF(05_모듈_인벤토리!$E$5:$E$175,"프로덕션")</f>
        <v>77</v>
      </c>
      <c r="E37" s="69"/>
    </row>
    <row r="38" customFormat="false" ht="15" hidden="false" customHeight="false" outlineLevel="0" collapsed="false">
      <c r="B38" s="23" t="s">
        <v>95</v>
      </c>
      <c r="C38" s="69"/>
      <c r="D38" s="66" t="n">
        <f aca="false">SUM(05_모듈_인벤토리!$G$5:$G$175)</f>
        <v>1662</v>
      </c>
      <c r="E38" s="69"/>
    </row>
    <row r="39" customFormat="false" ht="15" hidden="false" customHeight="false" outlineLevel="0" collapsed="false">
      <c r="B39" s="20" t="s">
        <v>941</v>
      </c>
      <c r="C39" s="69"/>
      <c r="D39" s="66" t="n">
        <f aca="false">COUNTIF(05_모듈_인벤토리!$C$5:$C$175,"integration-tests")</f>
        <v>8</v>
      </c>
      <c r="E39" s="69"/>
    </row>
    <row r="40" customFormat="false" ht="15" hidden="false" customHeight="false" outlineLevel="0" collapsed="false">
      <c r="B40" s="20" t="s">
        <v>942</v>
      </c>
      <c r="C40" s="69"/>
      <c r="D40" s="37" t="n">
        <f aca="false">IFERROR(SUMIF(05_모듈_인벤토리!$E$5:$E$175,"테스트",05_모듈_인벤토리!$F$5:$F$175)/SUM(05_모듈_인벤토리!$F$5:$F$175),"")</f>
        <v>0.564633176283424</v>
      </c>
      <c r="E40" s="69"/>
    </row>
    <row r="41" customFormat="false" ht="15" hidden="false" customHeight="false" outlineLevel="0" collapsed="false">
      <c r="B41" s="20" t="s">
        <v>943</v>
      </c>
      <c r="C41" s="69"/>
      <c r="D41" s="64" t="n">
        <f aca="false">IFERROR(SUM(05_모듈_인벤토리!$G$5:$G$175)/COUNTIF(05_모듈_인벤토리!$E$5:$E$175,"프로덕션"),"")</f>
        <v>21.5844155844156</v>
      </c>
      <c r="E41" s="69"/>
    </row>
    <row r="43" customFormat="false" ht="15" hidden="false" customHeight="true" outlineLevel="0" collapsed="false">
      <c r="A43" s="38" t="s">
        <v>944</v>
      </c>
      <c r="B43" s="38"/>
      <c r="C43" s="38"/>
      <c r="D43" s="38"/>
      <c r="E43" s="38"/>
    </row>
  </sheetData>
  <mergeCells count="8">
    <mergeCell ref="A1:E1"/>
    <mergeCell ref="A2:E2"/>
    <mergeCell ref="A4:E4"/>
    <mergeCell ref="A5:E5"/>
    <mergeCell ref="A16:E16"/>
    <mergeCell ref="A27:E27"/>
    <mergeCell ref="A35:E35"/>
    <mergeCell ref="A43:E43"/>
  </mergeCells>
  <conditionalFormatting sqref="D18:D25">
    <cfRule type="dataBar" priority="2">
      <dataBar showValue="1" minLength="10" maxLength="90">
        <cfvo type="num" val="0"/>
        <cfvo type="max" val="0"/>
        <color rgb="FFF8CBAD"/>
      </dataBar>
      <extLst>
        <ext xmlns:x14="http://schemas.microsoft.com/office/spreadsheetml/2009/9/main" uri="{B025F937-C7B1-47D3-B67F-A62EFF666E3E}">
          <x14:id>{4CAE6FF5-D73B-4169-82D0-A2DAB14AD8C9}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AE6FF5-D73B-4169-82D0-A2DAB14AD8C9}">
            <x14:dataBar minLength="10" maxLength="90" axisPosition="none" gradient="true">
              <x14:cfvo type="num">
                <xm:f>0</xm:f>
              </x14:cfvo>
              <x14:cfvo type="max"/>
              <x14:negativeFillColor rgb="FFF8CBAD"/>
              <x14:axisColor rgb="FF000000"/>
            </x14:dataBar>
          </x14:cfRule>
          <xm:sqref>D18:D25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864"/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945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8" t="s">
        <v>946</v>
      </c>
      <c r="B2" s="18"/>
      <c r="C2" s="18"/>
      <c r="D2" s="18"/>
      <c r="E2" s="18"/>
      <c r="F2" s="18"/>
      <c r="G2" s="18"/>
      <c r="H2" s="18"/>
    </row>
    <row r="4" customFormat="false" ht="31.5" hidden="false" customHeight="true" outlineLevel="0" collapsed="false">
      <c r="A4" s="27" t="s">
        <v>633</v>
      </c>
      <c r="B4" s="27" t="s">
        <v>947</v>
      </c>
      <c r="C4" s="27" t="s">
        <v>948</v>
      </c>
      <c r="D4" s="27" t="s">
        <v>403</v>
      </c>
      <c r="E4" s="27" t="s">
        <v>949</v>
      </c>
      <c r="F4" s="27" t="s">
        <v>950</v>
      </c>
      <c r="G4" s="26" t="s">
        <v>951</v>
      </c>
      <c r="H4" s="27" t="s">
        <v>411</v>
      </c>
    </row>
    <row r="5" customFormat="false" ht="15" hidden="false" customHeight="false" outlineLevel="0" collapsed="false">
      <c r="A5" s="40" t="s">
        <v>952</v>
      </c>
      <c r="B5" s="30" t="s">
        <v>953</v>
      </c>
      <c r="C5" s="40" t="s">
        <v>639</v>
      </c>
      <c r="D5" s="33" t="s">
        <v>954</v>
      </c>
      <c r="E5" s="31" t="s">
        <v>955</v>
      </c>
      <c r="F5" s="30" t="s">
        <v>414</v>
      </c>
      <c r="G5" s="7" t="s">
        <v>951</v>
      </c>
      <c r="H5" s="31" t="s">
        <v>956</v>
      </c>
    </row>
    <row r="6" customFormat="false" ht="15" hidden="false" customHeight="false" outlineLevel="0" collapsed="false">
      <c r="A6" s="40" t="s">
        <v>957</v>
      </c>
      <c r="B6" s="30" t="s">
        <v>953</v>
      </c>
      <c r="C6" s="40" t="s">
        <v>639</v>
      </c>
      <c r="D6" s="33" t="s">
        <v>954</v>
      </c>
      <c r="E6" s="32" t="s">
        <v>958</v>
      </c>
      <c r="F6" s="30" t="s">
        <v>414</v>
      </c>
      <c r="G6" s="7" t="s">
        <v>951</v>
      </c>
      <c r="H6" s="32"/>
    </row>
    <row r="7" customFormat="false" ht="15" hidden="false" customHeight="false" outlineLevel="0" collapsed="false">
      <c r="A7" s="40" t="s">
        <v>959</v>
      </c>
      <c r="B7" s="30" t="s">
        <v>953</v>
      </c>
      <c r="C7" s="40" t="s">
        <v>639</v>
      </c>
      <c r="D7" s="33" t="s">
        <v>954</v>
      </c>
      <c r="E7" s="31" t="s">
        <v>960</v>
      </c>
      <c r="F7" s="30" t="s">
        <v>414</v>
      </c>
      <c r="G7" s="7" t="s">
        <v>951</v>
      </c>
      <c r="H7" s="32" t="s">
        <v>961</v>
      </c>
    </row>
    <row r="8" customFormat="false" ht="15" hidden="false" customHeight="false" outlineLevel="0" collapsed="false">
      <c r="A8" s="40" t="s">
        <v>962</v>
      </c>
      <c r="B8" s="30" t="s">
        <v>963</v>
      </c>
      <c r="C8" s="40" t="s">
        <v>639</v>
      </c>
      <c r="D8" s="33" t="s">
        <v>954</v>
      </c>
      <c r="E8" s="32" t="s">
        <v>964</v>
      </c>
      <c r="F8" s="30" t="s">
        <v>414</v>
      </c>
      <c r="G8" s="7" t="s">
        <v>951</v>
      </c>
      <c r="H8" s="32"/>
    </row>
    <row r="9" customFormat="false" ht="15" hidden="false" customHeight="false" outlineLevel="0" collapsed="false">
      <c r="A9" s="40" t="s">
        <v>965</v>
      </c>
      <c r="B9" s="30" t="s">
        <v>966</v>
      </c>
      <c r="C9" s="40" t="s">
        <v>639</v>
      </c>
      <c r="D9" s="33" t="s">
        <v>954</v>
      </c>
      <c r="E9" s="32" t="s">
        <v>967</v>
      </c>
      <c r="F9" s="33" t="s">
        <v>968</v>
      </c>
      <c r="G9" s="7" t="s">
        <v>951</v>
      </c>
      <c r="H9" s="32" t="s">
        <v>969</v>
      </c>
    </row>
    <row r="10" customFormat="false" ht="15" hidden="false" customHeight="false" outlineLevel="0" collapsed="false">
      <c r="A10" s="40" t="s">
        <v>970</v>
      </c>
      <c r="B10" s="30" t="s">
        <v>971</v>
      </c>
      <c r="C10" s="40" t="s">
        <v>639</v>
      </c>
      <c r="D10" s="33" t="s">
        <v>954</v>
      </c>
      <c r="E10" s="32" t="s">
        <v>972</v>
      </c>
      <c r="F10" s="33" t="s">
        <v>968</v>
      </c>
      <c r="G10" s="7" t="s">
        <v>951</v>
      </c>
      <c r="H10" s="32" t="s">
        <v>973</v>
      </c>
    </row>
    <row r="11" customFormat="false" ht="15" hidden="false" customHeight="false" outlineLevel="0" collapsed="false">
      <c r="A11" s="40" t="s">
        <v>974</v>
      </c>
      <c r="B11" s="30" t="s">
        <v>975</v>
      </c>
      <c r="C11" s="40" t="s">
        <v>639</v>
      </c>
      <c r="D11" s="33" t="s">
        <v>954</v>
      </c>
      <c r="E11" s="32" t="s">
        <v>976</v>
      </c>
      <c r="F11" s="30" t="s">
        <v>414</v>
      </c>
      <c r="G11" s="7" t="s">
        <v>951</v>
      </c>
      <c r="H11" s="32" t="s">
        <v>977</v>
      </c>
    </row>
    <row r="12" customFormat="false" ht="15" hidden="false" customHeight="false" outlineLevel="0" collapsed="false">
      <c r="A12" s="40" t="s">
        <v>978</v>
      </c>
      <c r="B12" s="30" t="s">
        <v>979</v>
      </c>
      <c r="C12" s="40" t="s">
        <v>639</v>
      </c>
      <c r="D12" s="33" t="s">
        <v>954</v>
      </c>
      <c r="E12" s="32" t="s">
        <v>980</v>
      </c>
      <c r="F12" s="30" t="s">
        <v>414</v>
      </c>
      <c r="G12" s="7" t="s">
        <v>951</v>
      </c>
      <c r="H12" s="32" t="s">
        <v>981</v>
      </c>
    </row>
    <row r="13" customFormat="false" ht="15" hidden="false" customHeight="false" outlineLevel="0" collapsed="false">
      <c r="A13" s="40" t="s">
        <v>982</v>
      </c>
      <c r="B13" s="30" t="s">
        <v>983</v>
      </c>
      <c r="C13" s="40" t="s">
        <v>639</v>
      </c>
      <c r="D13" s="33" t="s">
        <v>954</v>
      </c>
      <c r="E13" s="31" t="s">
        <v>984</v>
      </c>
      <c r="F13" s="30" t="s">
        <v>414</v>
      </c>
      <c r="G13" s="7" t="s">
        <v>951</v>
      </c>
      <c r="H13" s="32"/>
    </row>
    <row r="14" customFormat="false" ht="15" hidden="false" customHeight="false" outlineLevel="0" collapsed="false">
      <c r="A14" s="40" t="s">
        <v>985</v>
      </c>
      <c r="B14" s="30" t="s">
        <v>986</v>
      </c>
      <c r="C14" s="40" t="s">
        <v>639</v>
      </c>
      <c r="D14" s="33" t="s">
        <v>954</v>
      </c>
      <c r="E14" s="31" t="s">
        <v>987</v>
      </c>
      <c r="F14" s="30" t="s">
        <v>414</v>
      </c>
      <c r="G14" s="7" t="s">
        <v>951</v>
      </c>
      <c r="H14" s="32"/>
    </row>
    <row r="15" customFormat="false" ht="15" hidden="false" customHeight="false" outlineLevel="0" collapsed="false">
      <c r="A15" s="40" t="s">
        <v>988</v>
      </c>
      <c r="B15" s="30" t="s">
        <v>989</v>
      </c>
      <c r="C15" s="40" t="s">
        <v>639</v>
      </c>
      <c r="D15" s="33" t="s">
        <v>954</v>
      </c>
      <c r="E15" s="31" t="s">
        <v>990</v>
      </c>
      <c r="F15" s="30" t="s">
        <v>414</v>
      </c>
      <c r="G15" s="7" t="s">
        <v>951</v>
      </c>
      <c r="H15" s="32"/>
    </row>
    <row r="16" customFormat="false" ht="15" hidden="false" customHeight="false" outlineLevel="0" collapsed="false">
      <c r="A16" s="40" t="s">
        <v>991</v>
      </c>
      <c r="B16" s="30" t="s">
        <v>971</v>
      </c>
      <c r="C16" s="40" t="s">
        <v>639</v>
      </c>
      <c r="D16" s="33" t="s">
        <v>954</v>
      </c>
      <c r="E16" s="31" t="s">
        <v>992</v>
      </c>
      <c r="F16" s="30" t="s">
        <v>414</v>
      </c>
      <c r="G16" s="7" t="s">
        <v>951</v>
      </c>
      <c r="H16" s="32"/>
    </row>
    <row r="17" customFormat="false" ht="15" hidden="false" customHeight="false" outlineLevel="0" collapsed="false">
      <c r="A17" s="40" t="s">
        <v>993</v>
      </c>
      <c r="B17" s="30" t="s">
        <v>986</v>
      </c>
      <c r="C17" s="40" t="s">
        <v>639</v>
      </c>
      <c r="D17" s="33" t="s">
        <v>954</v>
      </c>
      <c r="E17" s="31" t="s">
        <v>994</v>
      </c>
      <c r="F17" s="30" t="s">
        <v>414</v>
      </c>
      <c r="G17" s="7" t="s">
        <v>951</v>
      </c>
      <c r="H17" s="32"/>
    </row>
    <row r="18" customFormat="false" ht="15" hidden="false" customHeight="false" outlineLevel="0" collapsed="false">
      <c r="A18" s="40" t="s">
        <v>995</v>
      </c>
      <c r="B18" s="30" t="s">
        <v>996</v>
      </c>
      <c r="C18" s="40" t="s">
        <v>639</v>
      </c>
      <c r="D18" s="33" t="s">
        <v>997</v>
      </c>
      <c r="E18" s="32" t="s">
        <v>998</v>
      </c>
      <c r="F18" s="30" t="s">
        <v>414</v>
      </c>
      <c r="G18" s="7" t="s">
        <v>951</v>
      </c>
      <c r="H18" s="32" t="s">
        <v>999</v>
      </c>
    </row>
    <row r="19" customFormat="false" ht="15" hidden="false" customHeight="false" outlineLevel="0" collapsed="false">
      <c r="A19" s="40" t="s">
        <v>617</v>
      </c>
      <c r="B19" s="30" t="s">
        <v>1000</v>
      </c>
      <c r="C19" s="40" t="s">
        <v>639</v>
      </c>
      <c r="D19" s="33" t="s">
        <v>1001</v>
      </c>
      <c r="E19" s="32" t="s">
        <v>1002</v>
      </c>
      <c r="F19" s="30" t="s">
        <v>414</v>
      </c>
      <c r="G19" s="7" t="s">
        <v>951</v>
      </c>
      <c r="H19" s="32"/>
    </row>
    <row r="20" customFormat="false" ht="15" hidden="false" customHeight="false" outlineLevel="0" collapsed="false">
      <c r="A20" s="40" t="s">
        <v>1003</v>
      </c>
      <c r="B20" s="30" t="s">
        <v>1004</v>
      </c>
      <c r="C20" s="40" t="s">
        <v>639</v>
      </c>
      <c r="D20" s="33" t="s">
        <v>1005</v>
      </c>
      <c r="E20" s="32" t="s">
        <v>1006</v>
      </c>
      <c r="F20" s="30" t="s">
        <v>414</v>
      </c>
      <c r="G20" s="7" t="s">
        <v>951</v>
      </c>
      <c r="H20" s="32"/>
    </row>
    <row r="21" customFormat="false" ht="15" hidden="false" customHeight="false" outlineLevel="0" collapsed="false">
      <c r="A21" s="40" t="s">
        <v>1007</v>
      </c>
      <c r="B21" s="30" t="s">
        <v>1008</v>
      </c>
      <c r="C21" s="40" t="s">
        <v>639</v>
      </c>
      <c r="D21" s="33" t="s">
        <v>1009</v>
      </c>
      <c r="E21" s="32" t="s">
        <v>1010</v>
      </c>
      <c r="F21" s="30" t="s">
        <v>414</v>
      </c>
      <c r="G21" s="7" t="s">
        <v>951</v>
      </c>
      <c r="H21" s="31" t="s">
        <v>1011</v>
      </c>
    </row>
    <row r="22" customFormat="false" ht="15" hidden="false" customHeight="false" outlineLevel="0" collapsed="false">
      <c r="A22" s="40" t="s">
        <v>1012</v>
      </c>
      <c r="B22" s="30" t="s">
        <v>1013</v>
      </c>
      <c r="C22" s="40" t="s">
        <v>639</v>
      </c>
      <c r="D22" s="33" t="s">
        <v>1009</v>
      </c>
      <c r="E22" s="32" t="s">
        <v>1014</v>
      </c>
      <c r="F22" s="30" t="s">
        <v>414</v>
      </c>
      <c r="G22" s="7" t="s">
        <v>951</v>
      </c>
      <c r="H22" s="32" t="s">
        <v>1015</v>
      </c>
    </row>
    <row r="23" customFormat="false" ht="15" hidden="false" customHeight="false" outlineLevel="0" collapsed="false">
      <c r="A23" s="40" t="s">
        <v>1016</v>
      </c>
      <c r="B23" s="30" t="s">
        <v>1017</v>
      </c>
      <c r="C23" s="40" t="s">
        <v>798</v>
      </c>
      <c r="D23" s="33" t="s">
        <v>954</v>
      </c>
      <c r="E23" s="32" t="s">
        <v>1018</v>
      </c>
      <c r="F23" s="30" t="s">
        <v>414</v>
      </c>
      <c r="G23" s="7" t="s">
        <v>951</v>
      </c>
      <c r="H23" s="32"/>
    </row>
    <row r="24" customFormat="false" ht="15" hidden="false" customHeight="false" outlineLevel="0" collapsed="false">
      <c r="A24" s="40" t="s">
        <v>1019</v>
      </c>
      <c r="B24" s="30" t="s">
        <v>989</v>
      </c>
      <c r="C24" s="40" t="s">
        <v>798</v>
      </c>
      <c r="D24" s="33" t="s">
        <v>954</v>
      </c>
      <c r="E24" s="32" t="s">
        <v>1020</v>
      </c>
      <c r="F24" s="30" t="s">
        <v>414</v>
      </c>
      <c r="G24" s="7" t="s">
        <v>951</v>
      </c>
      <c r="H24" s="32"/>
    </row>
    <row r="25" customFormat="false" ht="15" hidden="false" customHeight="false" outlineLevel="0" collapsed="false">
      <c r="A25" s="40" t="s">
        <v>1021</v>
      </c>
      <c r="B25" s="30" t="s">
        <v>989</v>
      </c>
      <c r="C25" s="40" t="s">
        <v>798</v>
      </c>
      <c r="D25" s="33" t="s">
        <v>954</v>
      </c>
      <c r="E25" s="31" t="s">
        <v>1022</v>
      </c>
      <c r="F25" s="30" t="s">
        <v>414</v>
      </c>
      <c r="G25" s="7" t="s">
        <v>951</v>
      </c>
      <c r="H25" s="32" t="s">
        <v>1023</v>
      </c>
    </row>
    <row r="26" customFormat="false" ht="15" hidden="false" customHeight="false" outlineLevel="0" collapsed="false">
      <c r="A26" s="40" t="s">
        <v>1024</v>
      </c>
      <c r="B26" s="30" t="s">
        <v>1025</v>
      </c>
      <c r="C26" s="40" t="s">
        <v>798</v>
      </c>
      <c r="D26" s="33" t="s">
        <v>1026</v>
      </c>
      <c r="E26" s="32" t="s">
        <v>393</v>
      </c>
      <c r="F26" s="30" t="s">
        <v>414</v>
      </c>
      <c r="G26" s="7" t="s">
        <v>951</v>
      </c>
      <c r="H26" s="32"/>
    </row>
    <row r="27" customFormat="false" ht="15" hidden="false" customHeight="false" outlineLevel="0" collapsed="false">
      <c r="A27" s="40" t="s">
        <v>1027</v>
      </c>
      <c r="B27" s="30" t="s">
        <v>963</v>
      </c>
      <c r="C27" s="40" t="s">
        <v>639</v>
      </c>
      <c r="D27" s="33" t="s">
        <v>1028</v>
      </c>
      <c r="E27" s="31" t="s">
        <v>1029</v>
      </c>
      <c r="F27" s="30" t="s">
        <v>414</v>
      </c>
      <c r="G27" s="7" t="s">
        <v>951</v>
      </c>
      <c r="H27" s="32" t="s">
        <v>1030</v>
      </c>
    </row>
    <row r="28" customFormat="false" ht="15" hidden="false" customHeight="false" outlineLevel="0" collapsed="false">
      <c r="A28" s="40" t="s">
        <v>1031</v>
      </c>
      <c r="B28" s="30" t="s">
        <v>1032</v>
      </c>
      <c r="C28" s="40" t="s">
        <v>639</v>
      </c>
      <c r="D28" s="33" t="s">
        <v>1028</v>
      </c>
      <c r="E28" s="32" t="s">
        <v>1033</v>
      </c>
      <c r="F28" s="30" t="s">
        <v>414</v>
      </c>
      <c r="G28" s="7" t="s">
        <v>951</v>
      </c>
      <c r="H28" s="32"/>
    </row>
    <row r="29" customFormat="false" ht="15" hidden="false" customHeight="false" outlineLevel="0" collapsed="false">
      <c r="A29" s="40" t="s">
        <v>1034</v>
      </c>
      <c r="B29" s="30" t="s">
        <v>989</v>
      </c>
      <c r="C29" s="40" t="s">
        <v>639</v>
      </c>
      <c r="D29" s="33" t="s">
        <v>1028</v>
      </c>
      <c r="E29" s="31" t="s">
        <v>1035</v>
      </c>
      <c r="F29" s="30" t="s">
        <v>414</v>
      </c>
      <c r="G29" s="7" t="s">
        <v>951</v>
      </c>
      <c r="H29" s="32"/>
    </row>
    <row r="30" customFormat="false" ht="15" hidden="false" customHeight="false" outlineLevel="0" collapsed="false">
      <c r="A30" s="40" t="s">
        <v>1036</v>
      </c>
      <c r="B30" s="30" t="s">
        <v>1037</v>
      </c>
      <c r="C30" s="40" t="s">
        <v>639</v>
      </c>
      <c r="D30" s="33" t="s">
        <v>1038</v>
      </c>
      <c r="E30" s="32" t="s">
        <v>1039</v>
      </c>
      <c r="F30" s="30" t="s">
        <v>414</v>
      </c>
      <c r="G30" s="7" t="s">
        <v>951</v>
      </c>
      <c r="H30" s="32"/>
    </row>
    <row r="32" customFormat="false" ht="15" hidden="false" customHeight="false" outlineLevel="0" collapsed="false">
      <c r="D32" s="35" t="s">
        <v>1040</v>
      </c>
      <c r="E32" s="70" t="n">
        <f aca="false">COUNTA($A$5:$A$30)</f>
        <v>26</v>
      </c>
    </row>
    <row r="33" customFormat="false" ht="15" hidden="false" customHeight="false" outlineLevel="0" collapsed="false">
      <c r="D33" s="35" t="s">
        <v>954</v>
      </c>
      <c r="E33" s="70" t="n">
        <f aca="false">COUNTIF($D$5:$D$30,"런타임 필수")</f>
        <v>16</v>
      </c>
    </row>
    <row r="34" customFormat="false" ht="15" hidden="false" customHeight="false" outlineLevel="0" collapsed="false">
      <c r="D34" s="35" t="s">
        <v>1041</v>
      </c>
      <c r="E34" s="70" t="n">
        <f aca="false">COUNTIF($D$5:$D$30,"옵션*")</f>
        <v>4</v>
      </c>
    </row>
    <row r="35" customFormat="false" ht="15" hidden="false" customHeight="false" outlineLevel="0" collapsed="false">
      <c r="D35" s="35" t="s">
        <v>1042</v>
      </c>
      <c r="E35" s="70" t="n">
        <f aca="false">COUNTIF($D$5:$D$30,"개발*")</f>
        <v>4</v>
      </c>
    </row>
    <row r="36" customFormat="false" ht="15" hidden="false" customHeight="false" outlineLevel="0" collapsed="false">
      <c r="D36" s="35" t="s">
        <v>1043</v>
      </c>
      <c r="E36" s="70" t="n">
        <f aca="false">COUNTIF($F$5:$F$30,"포크 적용")</f>
        <v>2</v>
      </c>
    </row>
    <row r="38" customFormat="false" ht="25.35" hidden="false" customHeight="true" outlineLevel="0" collapsed="false">
      <c r="A38" s="38" t="s">
        <v>1044</v>
      </c>
      <c r="B38" s="38"/>
      <c r="C38" s="38"/>
      <c r="D38" s="38"/>
      <c r="E38" s="38"/>
      <c r="F38" s="38"/>
      <c r="G38" s="38"/>
      <c r="H38" s="38"/>
    </row>
  </sheetData>
  <autoFilter ref="A4:H30"/>
  <mergeCells count="3">
    <mergeCell ref="A1:H1"/>
    <mergeCell ref="A2:H2"/>
    <mergeCell ref="A38:H38"/>
  </mergeCells>
  <conditionalFormatting sqref="A5:H30">
    <cfRule type="expression" priority="2" aboveAverage="0" equalAverage="0" bottom="0" percent="0" rank="0" text="" dxfId="57">
      <formula>$F5="포크 적용"</formula>
    </cfRule>
  </conditionalFormatting>
  <hyperlinks>
    <hyperlink ref="G5" r:id="rId1" display="crates.io"/>
    <hyperlink ref="G6" r:id="rId2" display="crates.io"/>
    <hyperlink ref="G7" r:id="rId3" display="crates.io"/>
    <hyperlink ref="G8" r:id="rId4" display="crates.io"/>
    <hyperlink ref="G9" r:id="rId5" display="crates.io"/>
    <hyperlink ref="G10" r:id="rId6" display="crates.io"/>
    <hyperlink ref="G11" r:id="rId7" display="crates.io"/>
    <hyperlink ref="G12" r:id="rId8" display="crates.io"/>
    <hyperlink ref="G13" r:id="rId9" display="crates.io"/>
    <hyperlink ref="G14" r:id="rId10" display="crates.io"/>
    <hyperlink ref="G15" r:id="rId11" display="crates.io"/>
    <hyperlink ref="G16" r:id="rId12" display="crates.io"/>
    <hyperlink ref="G17" r:id="rId13" display="crates.io"/>
    <hyperlink ref="G18" r:id="rId14" display="crates.io"/>
    <hyperlink ref="G19" r:id="rId15" display="crates.io"/>
    <hyperlink ref="G20" r:id="rId16" display="crates.io"/>
    <hyperlink ref="G21" r:id="rId17" display="crates.io"/>
    <hyperlink ref="G22" r:id="rId18" display="crates.io"/>
    <hyperlink ref="G23" r:id="rId19" display="crates.io"/>
    <hyperlink ref="G24" r:id="rId20" display="crates.io"/>
    <hyperlink ref="G25" r:id="rId21" display="crates.io"/>
    <hyperlink ref="G26" r:id="rId22" display="crates.io"/>
    <hyperlink ref="G27" r:id="rId23" display="crates.io"/>
    <hyperlink ref="G28" r:id="rId24" display="crates.io"/>
    <hyperlink ref="G29" r:id="rId25" display="crates.io"/>
    <hyperlink ref="G30" r:id="rId26" display="crates.i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0E0E"/>
    <pageSetUpPr fitToPage="tru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46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30" hidden="false" customHeight="true" outlineLevel="0" collapsed="false">
      <c r="A1" s="1" t="s">
        <v>1045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18" t="s">
        <v>1046</v>
      </c>
      <c r="B2" s="18"/>
      <c r="C2" s="18"/>
      <c r="D2" s="18"/>
      <c r="E2" s="18"/>
      <c r="F2" s="18"/>
    </row>
    <row r="4" customFormat="false" ht="21.75" hidden="false" customHeight="true" outlineLevel="0" collapsed="false">
      <c r="A4" s="3" t="s">
        <v>1047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26"/>
      <c r="B5" s="27" t="s">
        <v>1048</v>
      </c>
      <c r="C5" s="27" t="s">
        <v>1049</v>
      </c>
      <c r="D5" s="27" t="s">
        <v>1050</v>
      </c>
      <c r="E5" s="27" t="s">
        <v>1051</v>
      </c>
    </row>
    <row r="6" customFormat="false" ht="29.85" hidden="false" customHeight="false" outlineLevel="0" collapsed="false">
      <c r="A6" s="40"/>
      <c r="B6" s="39" t="s">
        <v>1052</v>
      </c>
      <c r="C6" s="31" t="s">
        <v>1053</v>
      </c>
      <c r="D6" s="32" t="s">
        <v>1054</v>
      </c>
      <c r="E6" s="39" t="s">
        <v>1055</v>
      </c>
    </row>
    <row r="7" customFormat="false" ht="15" hidden="false" customHeight="false" outlineLevel="0" collapsed="false">
      <c r="A7" s="40"/>
      <c r="B7" s="39" t="s">
        <v>1056</v>
      </c>
      <c r="C7" s="32" t="s">
        <v>1057</v>
      </c>
      <c r="D7" s="32" t="s">
        <v>1058</v>
      </c>
      <c r="E7" s="39" t="s">
        <v>1059</v>
      </c>
    </row>
    <row r="8" customFormat="false" ht="29.85" hidden="false" customHeight="false" outlineLevel="0" collapsed="false">
      <c r="A8" s="40"/>
      <c r="B8" s="39" t="s">
        <v>1060</v>
      </c>
      <c r="C8" s="32" t="s">
        <v>1061</v>
      </c>
      <c r="D8" s="32" t="s">
        <v>1062</v>
      </c>
      <c r="E8" s="39" t="s">
        <v>1059</v>
      </c>
    </row>
    <row r="9" customFormat="false" ht="29.85" hidden="false" customHeight="false" outlineLevel="0" collapsed="false">
      <c r="A9" s="40"/>
      <c r="B9" s="39" t="s">
        <v>1063</v>
      </c>
      <c r="C9" s="32" t="s">
        <v>1064</v>
      </c>
      <c r="D9" s="32" t="s">
        <v>1065</v>
      </c>
      <c r="E9" s="39" t="s">
        <v>1066</v>
      </c>
    </row>
    <row r="10" customFormat="false" ht="41" hidden="false" customHeight="false" outlineLevel="0" collapsed="false">
      <c r="A10" s="40"/>
      <c r="B10" s="39" t="s">
        <v>1067</v>
      </c>
      <c r="C10" s="31" t="s">
        <v>1068</v>
      </c>
      <c r="D10" s="32" t="s">
        <v>1069</v>
      </c>
      <c r="E10" s="39" t="s">
        <v>1066</v>
      </c>
    </row>
    <row r="11" customFormat="false" ht="29.85" hidden="false" customHeight="false" outlineLevel="0" collapsed="false">
      <c r="A11" s="40"/>
      <c r="B11" s="39" t="s">
        <v>1070</v>
      </c>
      <c r="C11" s="31" t="s">
        <v>1071</v>
      </c>
      <c r="D11" s="32" t="s">
        <v>1072</v>
      </c>
      <c r="E11" s="39" t="s">
        <v>1066</v>
      </c>
    </row>
    <row r="12" customFormat="false" ht="15" hidden="false" customHeight="false" outlineLevel="0" collapsed="false">
      <c r="A12" s="40"/>
      <c r="B12" s="39" t="s">
        <v>1073</v>
      </c>
      <c r="C12" s="32" t="s">
        <v>1074</v>
      </c>
      <c r="D12" s="32" t="s">
        <v>1075</v>
      </c>
      <c r="E12" s="39" t="s">
        <v>1076</v>
      </c>
    </row>
    <row r="14" customFormat="false" ht="21.75" hidden="false" customHeight="true" outlineLevel="0" collapsed="false">
      <c r="A14" s="3" t="s">
        <v>1077</v>
      </c>
      <c r="B14" s="3"/>
      <c r="C14" s="3"/>
      <c r="D14" s="3"/>
      <c r="E14" s="3"/>
      <c r="F14" s="3"/>
    </row>
    <row r="15" customFormat="false" ht="27.75" hidden="false" customHeight="true" outlineLevel="0" collapsed="false">
      <c r="B15" s="71" t="s">
        <v>1078</v>
      </c>
      <c r="C15" s="72" t="s">
        <v>1079</v>
      </c>
      <c r="D15" s="72"/>
      <c r="E15" s="72"/>
    </row>
    <row r="16" customFormat="false" ht="27.75" hidden="false" customHeight="true" outlineLevel="0" collapsed="false">
      <c r="B16" s="71" t="s">
        <v>1078</v>
      </c>
      <c r="C16" s="72" t="s">
        <v>1080</v>
      </c>
      <c r="D16" s="72"/>
      <c r="E16" s="72"/>
    </row>
    <row r="17" customFormat="false" ht="27.75" hidden="false" customHeight="true" outlineLevel="0" collapsed="false">
      <c r="B17" s="71" t="s">
        <v>1078</v>
      </c>
      <c r="C17" s="72" t="s">
        <v>1081</v>
      </c>
      <c r="D17" s="72"/>
      <c r="E17" s="72"/>
    </row>
    <row r="18" customFormat="false" ht="27.75" hidden="false" customHeight="true" outlineLevel="0" collapsed="false">
      <c r="B18" s="71" t="s">
        <v>1078</v>
      </c>
      <c r="C18" s="72" t="s">
        <v>1082</v>
      </c>
      <c r="D18" s="72"/>
      <c r="E18" s="72"/>
    </row>
    <row r="20" customFormat="false" ht="21.75" hidden="false" customHeight="true" outlineLevel="0" collapsed="false">
      <c r="A20" s="3" t="s">
        <v>1083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26"/>
      <c r="B21" s="27" t="s">
        <v>1084</v>
      </c>
      <c r="C21" s="27" t="s">
        <v>1085</v>
      </c>
      <c r="D21" s="27" t="s">
        <v>1086</v>
      </c>
      <c r="E21" s="27" t="s">
        <v>1087</v>
      </c>
    </row>
    <row r="22" customFormat="false" ht="29.85" hidden="false" customHeight="false" outlineLevel="0" collapsed="false">
      <c r="A22" s="40"/>
      <c r="B22" s="40" t="s">
        <v>1088</v>
      </c>
      <c r="C22" s="31" t="s">
        <v>1089</v>
      </c>
      <c r="D22" s="32" t="s">
        <v>1090</v>
      </c>
      <c r="E22" s="39" t="s">
        <v>1091</v>
      </c>
    </row>
    <row r="23" customFormat="false" ht="15" hidden="false" customHeight="false" outlineLevel="0" collapsed="false">
      <c r="A23" s="40"/>
      <c r="B23" s="40" t="s">
        <v>1092</v>
      </c>
      <c r="C23" s="32" t="s">
        <v>1093</v>
      </c>
      <c r="D23" s="32" t="s">
        <v>1094</v>
      </c>
      <c r="E23" s="39" t="s">
        <v>1091</v>
      </c>
    </row>
    <row r="24" customFormat="false" ht="15" hidden="false" customHeight="false" outlineLevel="0" collapsed="false">
      <c r="A24" s="40"/>
      <c r="B24" s="40" t="s">
        <v>1095</v>
      </c>
      <c r="C24" s="32" t="s">
        <v>1096</v>
      </c>
      <c r="D24" s="32" t="s">
        <v>1097</v>
      </c>
      <c r="E24" s="39" t="s">
        <v>1091</v>
      </c>
    </row>
    <row r="25" customFormat="false" ht="15" hidden="false" customHeight="false" outlineLevel="0" collapsed="false">
      <c r="A25" s="40"/>
      <c r="B25" s="40" t="s">
        <v>1098</v>
      </c>
      <c r="C25" s="32" t="s">
        <v>1099</v>
      </c>
      <c r="D25" s="32" t="s">
        <v>1100</v>
      </c>
      <c r="E25" s="39" t="s">
        <v>1101</v>
      </c>
    </row>
    <row r="27" customFormat="false" ht="21.75" hidden="false" customHeight="true" outlineLevel="0" collapsed="false">
      <c r="A27" s="3" t="s">
        <v>1102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26"/>
      <c r="B28" s="27" t="s">
        <v>1103</v>
      </c>
      <c r="C28" s="27" t="s">
        <v>1104</v>
      </c>
      <c r="D28" s="27" t="s">
        <v>1105</v>
      </c>
      <c r="E28" s="27" t="s">
        <v>1106</v>
      </c>
    </row>
    <row r="29" customFormat="false" ht="26.85" hidden="false" customHeight="false" outlineLevel="0" collapsed="false">
      <c r="A29" s="40"/>
      <c r="B29" s="40" t="s">
        <v>1107</v>
      </c>
      <c r="C29" s="31" t="s">
        <v>1108</v>
      </c>
      <c r="D29" s="31" t="s">
        <v>1109</v>
      </c>
      <c r="E29" s="32" t="s">
        <v>1110</v>
      </c>
    </row>
    <row r="30" customFormat="false" ht="29.85" hidden="false" customHeight="false" outlineLevel="0" collapsed="false">
      <c r="A30" s="40"/>
      <c r="B30" s="40" t="s">
        <v>1111</v>
      </c>
      <c r="C30" s="31" t="s">
        <v>1112</v>
      </c>
      <c r="D30" s="32" t="s">
        <v>1113</v>
      </c>
      <c r="E30" s="32" t="s">
        <v>1114</v>
      </c>
    </row>
    <row r="31" customFormat="false" ht="29.85" hidden="false" customHeight="false" outlineLevel="0" collapsed="false">
      <c r="A31" s="40"/>
      <c r="B31" s="39" t="s">
        <v>1115</v>
      </c>
      <c r="C31" s="31" t="s">
        <v>1116</v>
      </c>
      <c r="D31" s="31" t="s">
        <v>1117</v>
      </c>
      <c r="E31" s="32" t="s">
        <v>1118</v>
      </c>
    </row>
    <row r="32" customFormat="false" ht="44" hidden="false" customHeight="false" outlineLevel="0" collapsed="false">
      <c r="A32" s="40"/>
      <c r="B32" s="39" t="s">
        <v>1119</v>
      </c>
      <c r="C32" s="31" t="s">
        <v>1120</v>
      </c>
      <c r="D32" s="31" t="s">
        <v>1121</v>
      </c>
      <c r="E32" s="32" t="s">
        <v>1122</v>
      </c>
    </row>
    <row r="34" customFormat="false" ht="21.75" hidden="false" customHeight="true" outlineLevel="0" collapsed="false">
      <c r="A34" s="3" t="s">
        <v>1123</v>
      </c>
      <c r="B34" s="3"/>
      <c r="C34" s="3"/>
      <c r="D34" s="3"/>
      <c r="E34" s="3"/>
      <c r="F34" s="3"/>
    </row>
    <row r="35" customFormat="false" ht="26.85" hidden="false" customHeight="false" outlineLevel="0" collapsed="false">
      <c r="A35" s="40"/>
      <c r="B35" s="40" t="s">
        <v>1124</v>
      </c>
      <c r="C35" s="32" t="s">
        <v>1125</v>
      </c>
      <c r="D35" s="32" t="s">
        <v>1126</v>
      </c>
      <c r="E35" s="39" t="s">
        <v>1127</v>
      </c>
    </row>
    <row r="36" customFormat="false" ht="15" hidden="false" customHeight="false" outlineLevel="0" collapsed="false">
      <c r="A36" s="40"/>
      <c r="B36" s="40" t="s">
        <v>1128</v>
      </c>
      <c r="C36" s="32" t="s">
        <v>1129</v>
      </c>
      <c r="D36" s="32" t="s">
        <v>1130</v>
      </c>
      <c r="E36" s="39" t="s">
        <v>1127</v>
      </c>
    </row>
    <row r="37" customFormat="false" ht="29.85" hidden="false" customHeight="false" outlineLevel="0" collapsed="false">
      <c r="A37" s="40"/>
      <c r="B37" s="40" t="s">
        <v>1131</v>
      </c>
      <c r="C37" s="32" t="s">
        <v>1132</v>
      </c>
      <c r="D37" s="32" t="s">
        <v>681</v>
      </c>
      <c r="E37" s="39" t="s">
        <v>1127</v>
      </c>
    </row>
    <row r="38" customFormat="false" ht="29.85" hidden="false" customHeight="false" outlineLevel="0" collapsed="false">
      <c r="A38" s="40"/>
      <c r="B38" s="40" t="s">
        <v>1133</v>
      </c>
      <c r="C38" s="32" t="s">
        <v>1134</v>
      </c>
      <c r="D38" s="32" t="s">
        <v>1135</v>
      </c>
      <c r="E38" s="39" t="s">
        <v>1136</v>
      </c>
    </row>
    <row r="39" customFormat="false" ht="29.85" hidden="false" customHeight="false" outlineLevel="0" collapsed="false">
      <c r="A39" s="40"/>
      <c r="B39" s="40" t="s">
        <v>1137</v>
      </c>
      <c r="C39" s="32" t="s">
        <v>1138</v>
      </c>
      <c r="D39" s="32" t="s">
        <v>1139</v>
      </c>
      <c r="E39" s="40" t="s">
        <v>1140</v>
      </c>
    </row>
    <row r="41" customFormat="false" ht="15" hidden="false" customHeight="true" outlineLevel="0" collapsed="false">
      <c r="A41" s="17" t="s">
        <v>1141</v>
      </c>
      <c r="B41" s="17"/>
      <c r="C41" s="17"/>
      <c r="D41" s="17"/>
      <c r="E41" s="17"/>
      <c r="F41" s="17"/>
    </row>
  </sheetData>
  <mergeCells count="12">
    <mergeCell ref="A1:F1"/>
    <mergeCell ref="A2:F2"/>
    <mergeCell ref="A4:F4"/>
    <mergeCell ref="A14:F14"/>
    <mergeCell ref="C15:E15"/>
    <mergeCell ref="C16:E16"/>
    <mergeCell ref="C17:E17"/>
    <mergeCell ref="C18:E18"/>
    <mergeCell ref="A20:F20"/>
    <mergeCell ref="A27:F27"/>
    <mergeCell ref="A34:F34"/>
    <mergeCell ref="A41:F41"/>
  </mergeCells>
  <conditionalFormatting sqref="E6:E12">
    <cfRule type="cellIs" priority="2" operator="equal" aboveAverage="0" equalAverage="0" bottom="0" percent="0" rank="0" text="" dxfId="58">
      <formula>"충족"</formula>
    </cfRule>
    <cfRule type="cellIs" priority="3" operator="equal" aboveAverage="0" equalAverage="0" bottom="0" percent="0" rank="0" text="" dxfId="59">
      <formula>"요구 초과 달성"</formula>
    </cfRule>
    <cfRule type="cellIs" priority="4" operator="equal" aboveAverage="0" equalAverage="0" bottom="0" percent="0" rank="0" text="" dxfId="14">
      <formula>"측정치 미공개"</formula>
    </cfRule>
  </conditionalFormatting>
  <conditionalFormatting sqref="E22:E25">
    <cfRule type="cellIs" priority="5" operator="equal" aboveAverage="0" equalAverage="0" bottom="0" percent="0" rank="0" text="" dxfId="58">
      <formula>"완료"</formula>
    </cfRule>
    <cfRule type="cellIs" priority="6" operator="equal" aboveAverage="0" equalAverage="0" bottom="0" percent="0" rank="0" text="" dxfId="14">
      <formula>"진행 중"</formula>
    </cfRule>
  </conditionalFormatting>
  <conditionalFormatting sqref="E35:E39">
    <cfRule type="cellIs" priority="7" operator="equal" aboveAverage="0" equalAverage="0" bottom="0" percent="0" rank="0" text="" dxfId="60">
      <formula>"재확인 필요"</formula>
    </cfRule>
    <cfRule type="expression" priority="8" aboveAverage="0" equalAverage="0" bottom="0" percent="0" rank="0" text="" dxfId="14">
      <formula>NOT(ISERROR(SEARCH("갱신 후보",$E35)))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2026-07-27T12:47:48Z</dcterms:created>
  <dc:creator>Claude (데이터 수집: main 브랜치 얕은 클론 + GitHub 릴리스 페이지)</dc:creator>
  <dc:description>developer0hye/office2pdf 리포지터리를 기능 매트릭스, CLI/API 사양, 모듈 인벤토리, 릴리스 이력, 검증 체계, 의존성, 리스크 관점으로 구조화한 워크북 (기준일 2026-07-27)</dc:description>
  <cp:keywords>office2pdf Rust OOXML Typst PDF DOCX XLSX PPTX</cp:keywords>
  <dc:language>en-US</dc:language>
  <cp:lastModifiedBy/>
  <dcterms:modified xsi:type="dcterms:W3CDTF">2026-07-27T12:47:51Z</dcterms:modified>
  <cp:revision>1</cp:revision>
  <dc:subject>OOXML→PDF 변환 라이브러리 기능·코드베이스·검증·릴리스 분석</dc:subject>
  <dc:title>office2pdf 리포지터리 정보 구조화 워크북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