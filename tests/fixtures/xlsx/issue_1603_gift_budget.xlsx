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media/hdphoto1.wdp" ContentType="image/vnd.ms-photo"/>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sheetId="1" state="visible" r:id="rId3"/>
    <sheet name="Gift budget and tracker" sheetId="2" state="visible" r:id="rId4"/>
    <sheet name="Data" sheetId="3" state="hidden" r:id="rId5"/>
  </sheets>
  <definedNames>
    <definedName function="false" hidden="false" localSheetId="1" name="_xlnm.Print_Area" vbProcedure="false">'Gift budget and tracker'!$A$1:$R$12</definedName>
    <definedName function="false" hidden="false" localSheetId="1" name="_xlnm.Print_Titles" vbProcedure="false">'Gift budget and tracker'!$7:$7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<sst xmlns="http://schemas.openxmlformats.org/spreadsheetml/2006/main" count="110" uniqueCount="77">
  <si>
    <t xml:space="preserve">ABOUT THE TEMPLATE</t>
  </si>
  <si>
    <t xml:space="preserve">Use this template to log your gift purchases and track them against budget.</t>
  </si>
  <si>
    <t xml:space="preserve">Enter in table the names of family and friends, gift items, budgeted and spent amounts, and notes, and select occasion and event month.</t>
  </si>
  <si>
    <t xml:space="preserve">Monthly overview chart is auto-updated.</t>
  </si>
  <si>
    <t xml:space="preserve">Note: </t>
  </si>
  <si>
    <t xml:space="preserve">Additional instructions have been provided in column A in GIFT BUDGET AND TRACKER worksheet. This text has been intentionally hidden. To remove text, select column A, then select DELETE. To unhide text, select column A, then change font color.</t>
  </si>
  <si>
    <t xml:space="preserve">To learn more about table, press SHIFT and then F10 within a table, select the TABLE option, and then select ALTERNATIVE TEXT.</t>
  </si>
  <si>
    <t xml:space="preserve">GIFT BUDGET AND TRACKER</t>
  </si>
  <si>
    <t xml:space="preserve">MONTHLY OVERVIEW</t>
  </si>
  <si>
    <t xml:space="preserve">Fill out as much as you can at the beginning of each new year. Enter names of family and friends, select gift occasion, select month of event, and type in how much you want to spend. Each person may appear multiple times within the table for each different occasion (birthday, holiday, shower, etc.).</t>
  </si>
  <si>
    <t xml:space="preserve">Who</t>
  </si>
  <si>
    <t xml:space="preserve">Occasion</t>
  </si>
  <si>
    <t xml:space="preserve">Month</t>
  </si>
  <si>
    <t xml:space="preserve">Amount
budgeted</t>
  </si>
  <si>
    <t xml:space="preserve">Amount
spent</t>
  </si>
  <si>
    <t xml:space="preserve">Gift</t>
  </si>
  <si>
    <t xml:space="preserve">Link to gift</t>
  </si>
  <si>
    <t xml:space="preserve">In store/
Online</t>
  </si>
  <si>
    <t xml:space="preserve">Purchased?</t>
  </si>
  <si>
    <t xml:space="preserve">Wrapped?</t>
  </si>
  <si>
    <t xml:space="preserve">Delivered?</t>
  </si>
  <si>
    <t xml:space="preserve">Notes</t>
  </si>
  <si>
    <t xml:space="preserve">Laura</t>
  </si>
  <si>
    <t xml:space="preserve">Birthdays</t>
  </si>
  <si>
    <t xml:space="preserve">June</t>
  </si>
  <si>
    <t xml:space="preserve">Shoes</t>
  </si>
  <si>
    <t xml:space="preserve">Seller</t>
  </si>
  <si>
    <t xml:space="preserve">Online</t>
  </si>
  <si>
    <t xml:space="preserve">Yes</t>
  </si>
  <si>
    <t xml:space="preserve">No</t>
  </si>
  <si>
    <t xml:space="preserve">6/16, Movie tickets</t>
  </si>
  <si>
    <t xml:space="preserve">Noa</t>
  </si>
  <si>
    <t xml:space="preserve">Anniversaries</t>
  </si>
  <si>
    <t xml:space="preserve">April</t>
  </si>
  <si>
    <t xml:space="preserve">A cat</t>
  </si>
  <si>
    <t xml:space="preserve">In store</t>
  </si>
  <si>
    <t xml:space="preserve">He mentioned he likes dogs</t>
  </si>
  <si>
    <t xml:space="preserve">Aktan</t>
  </si>
  <si>
    <t xml:space="preserve">Holidays</t>
  </si>
  <si>
    <t xml:space="preserve">July</t>
  </si>
  <si>
    <t xml:space="preserve">Headphones</t>
  </si>
  <si>
    <t xml:space="preserve">Dorm stuff</t>
  </si>
  <si>
    <t xml:space="preserve">Meitar</t>
  </si>
  <si>
    <t xml:space="preserve">January</t>
  </si>
  <si>
    <t xml:space="preserve">Game</t>
  </si>
  <si>
    <t xml:space="preserve">Yuuri</t>
  </si>
  <si>
    <t xml:space="preserve">Weddings</t>
  </si>
  <si>
    <t xml:space="preserve">Crystal vase</t>
  </si>
  <si>
    <t xml:space="preserve">Occasions</t>
  </si>
  <si>
    <t xml:space="preserve">Date</t>
  </si>
  <si>
    <t xml:space="preserve">Amount Budgeted
Birthdays</t>
  </si>
  <si>
    <t xml:space="preserve">Amount Budgeted
Holidays</t>
  </si>
  <si>
    <t xml:space="preserve">Amount Budgeted
Other</t>
  </si>
  <si>
    <t xml:space="preserve">Amount Spent</t>
  </si>
  <si>
    <t xml:space="preserve">Jan</t>
  </si>
  <si>
    <t xml:space="preserve">February</t>
  </si>
  <si>
    <t xml:space="preserve">Feb</t>
  </si>
  <si>
    <t xml:space="preserve">March</t>
  </si>
  <si>
    <t xml:space="preserve">Mar</t>
  </si>
  <si>
    <t xml:space="preserve">Apr</t>
  </si>
  <si>
    <t xml:space="preserve">Bridal Showers</t>
  </si>
  <si>
    <t xml:space="preserve">May</t>
  </si>
  <si>
    <t xml:space="preserve">Baby Showers</t>
  </si>
  <si>
    <t xml:space="preserve">Jun</t>
  </si>
  <si>
    <t xml:space="preserve">Graduations</t>
  </si>
  <si>
    <t xml:space="preserve">Jul</t>
  </si>
  <si>
    <t xml:space="preserve">Other</t>
  </si>
  <si>
    <t xml:space="preserve">August</t>
  </si>
  <si>
    <t xml:space="preserve">Aug</t>
  </si>
  <si>
    <t xml:space="preserve">September</t>
  </si>
  <si>
    <t xml:space="preserve">Sep</t>
  </si>
  <si>
    <t xml:space="preserve">October</t>
  </si>
  <si>
    <t xml:space="preserve">Oct</t>
  </si>
  <si>
    <t xml:space="preserve">November</t>
  </si>
  <si>
    <t xml:space="preserve">Nov</t>
  </si>
  <si>
    <t xml:space="preserve">December</t>
  </si>
  <si>
    <t xml:space="preserve">Dec</t>
  </si>
</sst>
</file>

<file path=xl/styles.xml><?xml version="1.0" encoding="utf-8"?>
<styleSheet xmlns="http://schemas.openxmlformats.org/spreadsheetml/2006/main">
  <numFmts count="2">
    <numFmt numFmtId="164" formatCode="General"/>
    <numFmt numFmtId="165" formatCode="\$#,##0"/>
  </numFmts>
  <fonts count="22">
    <font>
      <sz val="10"/>
      <color theme="3"/>
      <name val="Segoe UI"/>
      <family val="2"/>
      <charset val="1"/>
    </font>
    <font>
      <sz val="10"/>
      <name val="Arial"/>
      <family val="0"/>
    </font>
    <font>
      <sz val="10"/>
      <name val="Arial"/>
      <family val="0"/>
    </font>
    <font>
      <sz val="10"/>
      <name val="Arial"/>
      <family val="0"/>
    </font>
    <font>
      <sz val="30"/>
      <color theme="4"/>
      <name val="Century Gothic"/>
      <family val="1"/>
      <charset val="1"/>
    </font>
    <font>
      <sz val="11"/>
      <color theme="4"/>
      <name val="Calibri"/>
      <family val="2"/>
      <charset val="1"/>
    </font>
    <font>
      <b val="true"/>
      <sz val="14"/>
      <color theme="4"/>
      <name val="Calibri"/>
      <family val="2"/>
      <charset val="1"/>
    </font>
    <font>
      <sz val="10"/>
      <color theme="4"/>
      <name val="Segoe UI"/>
      <family val="2"/>
      <charset val="1"/>
    </font>
    <font>
      <sz val="10"/>
      <color theme="0"/>
      <name val="Segoe UI"/>
      <family val="2"/>
      <charset val="1"/>
    </font>
    <font>
      <sz val="10"/>
      <color theme="5" tint="0.7999"/>
      <name val="Segoe UI"/>
      <family val="2"/>
      <charset val="1"/>
    </font>
    <font>
      <sz val="11"/>
      <color theme="0"/>
      <name val="Calibri"/>
      <family val="2"/>
      <charset val="1"/>
    </font>
    <font>
      <sz val="24"/>
      <color theme="3"/>
      <name val="Century Gothic"/>
      <family val="2"/>
      <charset val="1"/>
    </font>
    <font>
      <sz val="40"/>
      <color theme="4"/>
      <name val="Century Gothic"/>
      <family val="2"/>
      <charset val="1"/>
    </font>
    <font>
      <sz val="24"/>
      <color theme="4"/>
      <name val="Century Gothic"/>
      <family val="1"/>
      <charset val="1"/>
    </font>
    <font>
      <b val="true"/>
      <sz val="16"/>
      <color theme="1" tint="0.1499"/>
      <name val="Century Gothic"/>
      <family val="2"/>
      <charset val="1"/>
    </font>
    <font>
      <b val="true"/>
      <sz val="14"/>
      <color theme="4"/>
      <name val="Segoe UI"/>
      <family val="2"/>
      <charset val="1"/>
    </font>
    <font>
      <sz val="14"/>
      <color theme="4"/>
      <name val="Segoe UI"/>
      <family val="2"/>
      <charset val="1"/>
    </font>
    <font>
      <sz val="12"/>
      <color theme="3"/>
      <name val="Segoe UI"/>
      <family val="2"/>
      <charset val="1"/>
    </font>
    <font>
      <sz val="11"/>
      <color theme="1" tint="0.15"/>
      <name val="Segoe UI"/>
      <family val="2"/>
      <charset val="1"/>
    </font>
    <font>
      <b val="true"/>
      <sz val="11"/>
      <color theme="1" tint="0.15"/>
      <name val="Segoe UI"/>
      <family val="2"/>
      <charset val="1"/>
    </font>
    <font>
      <sz val="9"/>
      <color rgb="FF595959"/>
      <name val="Segoe UI"/>
      <family val="2"/>
    </font>
    <font>
      <b val="true"/>
      <sz val="9"/>
      <color theme="3"/>
      <name val="Segoe UI"/>
      <family val="2"/>
      <charset val="1"/>
    </font>
  </fonts>
  <fills count="5">
    <fill>
      <patternFill patternType="none"/>
    </fill>
    <fill>
      <patternFill patternType="gray125"/>
    </fill>
    <fill>
      <patternFill patternType="solid">
        <fgColor theme="5"/>
        <bgColor rgb="FFFFCC99"/>
      </patternFill>
    </fill>
    <fill>
      <patternFill patternType="solid">
        <fgColor theme="5" tint="0.7999"/>
        <bgColor rgb="FFFFFFFF"/>
      </patternFill>
    </fill>
    <fill>
      <patternFill patternType="solid">
        <fgColor theme="5" tint="-0.25"/>
        <bgColor rgb="FF969696"/>
      </patternFill>
    </fill>
  </fills>
  <borders count="1">
    <border diagonalUp="false" diagonalDown="false">
      <left/>
      <right/>
      <top/>
      <bottom/>
      <diagonal/>
    </border>
  </borders>
  <cellStyleXfs count="22">
    <xf numFmtId="164" fontId="0" fillId="0" borderId="0" applyFont="true" applyBorder="true" applyAlignment="true" applyProtection="true">
      <alignment horizontal="left" vertical="bottom" textRotation="0" wrapText="false" indent="1"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1" fillId="0" borderId="0" applyFont="true" applyBorder="false" applyAlignment="true" applyProtection="false">
      <alignment horizontal="left" vertical="center" textRotation="0" wrapText="false" indent="2" shrinkToFit="false"/>
    </xf>
    <xf numFmtId="164" fontId="14" fillId="0" borderId="0" applyFont="true" applyBorder="true" applyAlignment="true" applyProtection="false">
      <alignment horizontal="left" vertical="center" textRotation="0" wrapText="false" indent="2" shrinkToFit="false"/>
    </xf>
  </cellStyleXfs>
  <cellXfs count="34">
    <xf numFmtId="164" fontId="0" fillId="0" borderId="0" xfId="0" applyFont="false" applyBorder="false" applyAlignment="false" applyProtection="false">
      <alignment horizontal="left" vertical="bottom" textRotation="0" wrapText="false" indent="1"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false" applyAlignment="true" applyProtection="false">
      <alignment horizontal="left" vertical="center" textRotation="0" wrapText="true" indent="1" shrinkToFit="false"/>
      <protection locked="true" hidden="false"/>
    </xf>
    <xf numFmtId="164" fontId="0" fillId="3" borderId="0" xfId="0" applyFont="false" applyBorder="false" applyAlignment="true" applyProtection="false">
      <alignment horizontal="left" vertical="bottom" textRotation="0" wrapText="false" indent="1" shrinkToFit="false"/>
      <protection locked="true" hidden="false"/>
    </xf>
    <xf numFmtId="164" fontId="6" fillId="3" borderId="0" xfId="0" applyFont="true" applyBorder="false" applyAlignment="true" applyProtection="false">
      <alignment horizontal="left" vertical="center" textRotation="0" wrapText="true" indent="1" shrinkToFit="false"/>
      <protection locked="true" hidden="false"/>
    </xf>
    <xf numFmtId="164" fontId="7" fillId="3" borderId="0" xfId="0" applyFont="true" applyBorder="false" applyAlignment="true" applyProtection="false">
      <alignment horizontal="left" vertical="bottom" textRotation="0" wrapText="false" indent="1"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1" shrinkToFit="false"/>
      <protection locked="true" hidden="false"/>
    </xf>
    <xf numFmtId="164" fontId="10" fillId="0" borderId="0" xfId="0" applyFont="true" applyBorder="false" applyAlignment="true" applyProtection="false">
      <alignment horizontal="left" vertical="center" textRotation="0" wrapText="true" indent="0" shrinkToFit="false"/>
      <protection locked="true" hidden="false"/>
    </xf>
    <xf numFmtId="164" fontId="4" fillId="3" borderId="0" xfId="20" applyFont="true" applyBorder="true" applyAlignment="true" applyProtection="true">
      <alignment horizontal="left" vertical="center" textRotation="0" wrapText="true" indent="2" shrinkToFit="false"/>
      <protection locked="true" hidden="false"/>
    </xf>
    <xf numFmtId="164" fontId="12" fillId="3" borderId="0" xfId="20" applyFont="true" applyBorder="true" applyAlignment="true" applyProtection="true">
      <alignment horizontal="left" vertical="center" textRotation="0" wrapText="true" indent="2" shrinkToFit="false"/>
      <protection locked="true" hidden="false"/>
    </xf>
    <xf numFmtId="164" fontId="13" fillId="2" borderId="0" xfId="21" applyFont="true" applyBorder="true" applyAlignment="true" applyProtection="true">
      <alignment horizontal="left" vertical="center" textRotation="0" wrapText="false" indent="1" shrinkToFit="false"/>
      <protection locked="true" hidden="false"/>
    </xf>
    <xf numFmtId="164" fontId="15" fillId="0" borderId="0" xfId="0" applyFont="true" applyBorder="false" applyAlignment="true" applyProtection="false">
      <alignment horizontal="left" vertical="top" textRotation="0" wrapText="true" indent="2" shrinkToFit="false"/>
      <protection locked="true" hidden="false"/>
    </xf>
    <xf numFmtId="164" fontId="0" fillId="0" borderId="0" xfId="0" applyFont="false" applyBorder="false" applyAlignment="true" applyProtection="false">
      <alignment horizontal="left" vertical="center" textRotation="0" wrapText="true" indent="2" shrinkToFit="false"/>
      <protection locked="true" hidden="false"/>
    </xf>
    <xf numFmtId="164" fontId="16" fillId="3" borderId="0" xfId="0" applyFont="true" applyBorder="true" applyAlignment="true" applyProtection="false">
      <alignment horizontal="left" vertical="top" textRotation="0" wrapText="true" indent="2" shrinkToFit="false"/>
      <protection locked="true" hidden="false"/>
    </xf>
    <xf numFmtId="164" fontId="15" fillId="3" borderId="0" xfId="0" applyFont="true" applyBorder="false" applyAlignment="true" applyProtection="false">
      <alignment horizontal="left" vertical="center" textRotation="0" wrapText="true" indent="2" shrinkToFit="false"/>
      <protection locked="true" hidden="false"/>
    </xf>
    <xf numFmtId="164" fontId="14" fillId="0" borderId="0" xfId="21" applyFont="true" applyBorder="false" applyAlignment="true" applyProtection="true">
      <alignment horizontal="left" vertical="center" textRotation="0" wrapText="false" indent="2" shrinkToFit="false"/>
      <protection locked="true" hidden="false"/>
    </xf>
    <xf numFmtId="164" fontId="15" fillId="3" borderId="0" xfId="0" applyFont="true" applyBorder="false" applyAlignment="true" applyProtection="false">
      <alignment horizontal="left" vertical="top" textRotation="0" wrapText="true" indent="2" shrinkToFit="false"/>
      <protection locked="true" hidden="false"/>
    </xf>
    <xf numFmtId="164" fontId="8" fillId="0" borderId="0" xfId="0" applyFont="true" applyBorder="false" applyAlignment="true" applyProtection="false">
      <alignment horizontal="left" vertical="bottom" textRotation="0" wrapText="true" indent="0" shrinkToFit="false"/>
      <protection locked="true" hidden="false"/>
    </xf>
    <xf numFmtId="164" fontId="17" fillId="0" borderId="0" xfId="0" applyFont="true" applyBorder="false" applyAlignment="true" applyProtection="false">
      <alignment horizontal="left" vertical="center" textRotation="0" wrapText="false" indent="1" shrinkToFit="false"/>
      <protection locked="true" hidden="false"/>
    </xf>
    <xf numFmtId="164" fontId="17" fillId="0" borderId="0" xfId="0" applyFont="true" applyBorder="false" applyAlignment="true" applyProtection="true">
      <alignment horizontal="center" vertical="center" textRotation="0" wrapText="false" indent="0" shrinkToFit="false"/>
      <protection locked="fals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left" vertical="bottom" textRotation="0" wrapText="true" indent="0" shrinkToFit="false"/>
      <protection locked="true" hidden="false"/>
    </xf>
    <xf numFmtId="164" fontId="18" fillId="0" borderId="0" xfId="0" applyFont="true" applyBorder="false" applyAlignment="true" applyProtection="false">
      <alignment horizontal="left" vertical="center" textRotation="0" wrapText="true" indent="1" shrinkToFit="false"/>
      <protection locked="true" hidden="false"/>
    </xf>
    <xf numFmtId="164" fontId="19" fillId="4" borderId="0" xfId="0" applyFont="true" applyBorder="false" applyAlignment="true" applyProtection="true">
      <alignment horizontal="center" vertical="center" textRotation="0" wrapText="true" indent="0" shrinkToFit="false"/>
      <protection locked="fals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5" fontId="18" fillId="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true" indent="0" shrinkToFit="false"/>
      <protection locked="true" hidden="false"/>
    </xf>
    <xf numFmtId="164" fontId="19" fillId="0" borderId="0" xfId="0" applyFont="true" applyBorder="false" applyAlignment="true" applyProtection="true">
      <alignment horizontal="center" vertical="center" textRotation="0" wrapText="true" indent="0" shrinkToFit="false"/>
      <protection locked="false" hidden="false"/>
    </xf>
    <xf numFmtId="164" fontId="0" fillId="0" borderId="0" xfId="0" applyFont="false" applyBorder="false" applyAlignment="true" applyProtection="false">
      <alignment horizontal="left" vertical="center" textRotation="0" wrapText="false" indent="1" shrinkToFit="false"/>
      <protection locked="true" hidden="false"/>
    </xf>
    <xf numFmtId="164" fontId="21" fillId="0" borderId="0" xfId="0" applyFont="true" applyBorder="false" applyAlignment="true" applyProtection="false">
      <alignment horizontal="left" vertical="bottom" textRotation="0" wrapText="false" indent="1" shrinkToFit="false"/>
      <protection locked="true" hidden="false"/>
    </xf>
    <xf numFmtId="164" fontId="21" fillId="0" borderId="0" xfId="0" applyFont="true" applyBorder="false" applyAlignment="true" applyProtection="false">
      <alignment horizontal="left" vertical="bottom" textRotation="0" wrapText="true" indent="1" shrinkToFit="false"/>
      <protection locked="true" hidden="false"/>
    </xf>
    <xf numFmtId="165" fontId="0" fillId="0" borderId="0" xfId="0" applyFont="false" applyBorder="false" applyAlignment="true" applyProtection="false">
      <alignment horizontal="left" vertical="bottom" textRotation="0" wrapText="false" indent="1"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Excel Built-in Title" xfId="20"/>
    <cellStyle name="Excel Built-in Heading 1" xfId="21"/>
  </cellStyles>
  <dxfs count="15">
    <dxf>
      <fill>
        <patternFill patternType="solid">
          <bgColor rgb="FF000000"/>
        </patternFill>
      </fill>
    </dxf>
    <dxf>
      <fill>
        <patternFill patternType="solid">
          <fgColor rgb="FF262626"/>
          <bgColor rgb="FF000000"/>
        </patternFill>
      </fill>
    </dxf>
    <dxf>
      <fill>
        <patternFill patternType="solid">
          <fgColor rgb="FF44546A"/>
          <bgColor rgb="FF000000"/>
        </patternFill>
      </fill>
    </dxf>
    <dxf>
      <fill>
        <patternFill patternType="solid">
          <fgColor rgb="FF3D2B2D"/>
          <bgColor rgb="FF000000"/>
        </patternFill>
      </fill>
    </dxf>
    <dxf>
      <fill>
        <patternFill patternType="solid">
          <fgColor rgb="FF5D3754"/>
          <bgColor rgb="FF000000"/>
        </patternFill>
      </fill>
    </dxf>
    <dxf>
      <fill>
        <patternFill patternType="solid">
          <fgColor rgb="FF7A6369"/>
          <bgColor rgb="FF000000"/>
        </patternFill>
      </fill>
    </dxf>
    <dxf>
      <fill>
        <patternFill patternType="solid">
          <fgColor rgb="FFFFFFFF"/>
          <bgColor rgb="FF000000"/>
        </patternFill>
      </fill>
    </dxf>
    <dxf>
      <font>
        <color rgb="FFFFFFFF"/>
      </font>
      <fill>
        <patternFill>
          <bgColor theme="4"/>
        </patternFill>
      </fill>
    </dxf>
    <dxf>
      <font>
        <color rgb="FFFFFFFF"/>
      </font>
      <fill>
        <patternFill>
          <bgColor theme="4"/>
        </patternFill>
      </fill>
    </dxf>
    <dxf>
      <font>
        <color rgb="FFFFFFFF"/>
      </font>
      <fill>
        <patternFill>
          <bgColor theme="4"/>
        </patternFill>
      </fill>
    </dxf>
    <dxf>
      <font>
        <color rgb="FFFFFFFF"/>
      </font>
      <fill>
        <patternFill>
          <bgColor theme="4"/>
        </patternFill>
      </fill>
    </dxf>
    <dxf>
      <font>
        <color rgb="FFFFFFFF"/>
      </font>
      <fill>
        <patternFill>
          <bgColor theme="4"/>
        </patternFill>
      </fill>
    </dxf>
    <dxf>
      <font>
        <color rgb="FFFFFFFF"/>
      </font>
      <fill>
        <patternFill>
          <bgColor theme="4"/>
        </patternFill>
      </fill>
    </dxf>
    <dxf>
      <font>
        <color rgb="FFFFFFFF"/>
      </font>
      <fill>
        <patternFill>
          <bgColor theme="8"/>
        </patternFill>
      </fill>
    </dxf>
    <dxf>
      <font>
        <color rgb="FFFFFFFF"/>
      </font>
      <fill>
        <patternFill>
          <bgColor theme="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889"/>
      <rgbColor rgb="FFDAB6BA"/>
      <rgbColor rgb="FFB8747B"/>
      <rgbColor rgb="FF9999FF"/>
      <rgbColor rgb="FF5D3754"/>
      <rgbColor rgb="FFF8F0F1"/>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7A6369"/>
      <rgbColor rgb="FF969696"/>
      <rgbColor rgb="FF003366"/>
      <rgbColor rgb="FF339966"/>
      <rgbColor rgb="FF2F1C2A"/>
      <rgbColor rgb="FF262626"/>
      <rgbColor rgb="FF993300"/>
      <rgbColor rgb="FF595959"/>
      <rgbColor rgb="FF44546A"/>
      <rgbColor rgb="FF3D2B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2"/>
  <c:chart>
    <c:autoTitleDeleted val="1"/>
    <c:plotArea>
      <c:barChart>
        <c:barDir val="col"/>
        <c:grouping val="stacked"/>
        <c:varyColors val="0"/>
        <c:ser>
          <c:idx val="0"/>
          <c:order val="0"/>
          <c:tx>
            <c:strRef>
              <c:f>"Birthday Budget"</c:f>
              <c:strCache>
                <c:ptCount val="1"/>
                <c:pt idx="0">
                  <c:v>Birthday Budget</c:v>
                </c:pt>
              </c:strCache>
            </c:strRef>
          </c:tx>
          <c:spPr>
            <a:solidFill>
              <a:srgbClr val="3D2B2D"/>
            </a:solidFill>
            <a:ln w="12600">
              <a:noFill/>
            </a:ln>
          </c:spPr>
          <c:invertIfNegative val="0"/>
          <c:dLbls>
            <c:txPr>
              <a:bodyPr wrap="square"/>
              <a:lstStyle/>
              <a:p>
                <a:pPr>
                  <a:defRPr sz="1000" b="0" u="none" strike="noStrike">
                    <a:solidFill>
                      <a:srgbClr val="000000"/>
                    </a:solidFill>
                    <a:uFillTx/>
                    <a:latin typeface="Segoe UI"/>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Data!$D$2:$D$13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Data!$E$2:$E$13</c:f>
              <c:numCache>
                <c:formatCode>\$#,##0</c:formatCode>
                <c:ptCount val="12"/>
                <c:pt idx="0">
                  <c:v>20</c:v>
                </c:pt>
                <c:pt idx="1">
                  <c:v>0</c:v>
                </c:pt>
                <c:pt idx="2">
                  <c:v>0</c:v>
                </c:pt>
                <c:pt idx="3">
                  <c:v>0</c:v>
                </c:pt>
                <c:pt idx="4">
                  <c:v>0</c:v>
                </c:pt>
                <c:pt idx="5">
                  <c:v>50</c:v>
                </c:pt>
                <c:pt idx="6">
                  <c:v>0</c:v>
                </c:pt>
                <c:pt idx="7">
                  <c:v>0</c:v>
                </c:pt>
                <c:pt idx="8">
                  <c:v>0</c:v>
                </c:pt>
                <c:pt idx="9">
                  <c:v>0</c:v>
                </c:pt>
                <c:pt idx="10">
                  <c:v>0</c:v>
                </c:pt>
                <c:pt idx="11">
                  <c:v>0</c:v>
                </c:pt>
              </c:numCache>
            </c:numRef>
          </c:val>
        </c:ser>
        <c:ser>
          <c:idx val="1"/>
          <c:order val="1"/>
          <c:tx>
            <c:strRef>
              <c:f>"Holiday Budget"</c:f>
              <c:strCache>
                <c:ptCount val="1"/>
                <c:pt idx="0">
                  <c:v>Holiday Budget</c:v>
                </c:pt>
              </c:strCache>
            </c:strRef>
          </c:tx>
          <c:spPr>
            <a:solidFill>
              <a:srgbClr val="7A6369"/>
            </a:solidFill>
            <a:ln w="12600">
              <a:noFill/>
            </a:ln>
          </c:spPr>
          <c:invertIfNegative val="0"/>
          <c:dLbls>
            <c:txPr>
              <a:bodyPr wrap="square"/>
              <a:lstStyle/>
              <a:p>
                <a:pPr>
                  <a:defRPr sz="1000" b="0" u="none" strike="noStrike">
                    <a:solidFill>
                      <a:srgbClr val="000000"/>
                    </a:solidFill>
                    <a:uFillTx/>
                    <a:latin typeface="Segoe UI"/>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Data!$D$2:$D$13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Data!$F$2:$F$13</c:f>
              <c:numCache>
                <c:formatCode>\$#,##0</c:formatCode>
                <c:ptCount val="12"/>
                <c:pt idx="0">
                  <c:v>0</c:v>
                </c:pt>
                <c:pt idx="1">
                  <c:v>0</c:v>
                </c:pt>
                <c:pt idx="2">
                  <c:v>0</c:v>
                </c:pt>
                <c:pt idx="3">
                  <c:v>0</c:v>
                </c:pt>
                <c:pt idx="4">
                  <c:v>0</c:v>
                </c:pt>
                <c:pt idx="5">
                  <c:v>0</c:v>
                </c:pt>
                <c:pt idx="6">
                  <c:v>50</c:v>
                </c:pt>
                <c:pt idx="7">
                  <c:v>0</c:v>
                </c:pt>
                <c:pt idx="8">
                  <c:v>0</c:v>
                </c:pt>
                <c:pt idx="9">
                  <c:v>0</c:v>
                </c:pt>
                <c:pt idx="10">
                  <c:v>0</c:v>
                </c:pt>
                <c:pt idx="11">
                  <c:v>0</c:v>
                </c:pt>
              </c:numCache>
            </c:numRef>
          </c:val>
        </c:ser>
        <c:ser>
          <c:idx val="2"/>
          <c:order val="2"/>
          <c:tx>
            <c:strRef>
              <c:f>"Other Gift Budget"</c:f>
              <c:strCache>
                <c:ptCount val="1"/>
                <c:pt idx="0">
                  <c:v>Other Gift Budget</c:v>
                </c:pt>
              </c:strCache>
            </c:strRef>
          </c:tx>
          <c:spPr>
            <a:solidFill>
              <a:srgbClr val="5D3754"/>
            </a:solidFill>
            <a:ln w="12600">
              <a:noFill/>
            </a:ln>
          </c:spPr>
          <c:invertIfNegative val="0"/>
          <c:dLbls>
            <c:txPr>
              <a:bodyPr wrap="square"/>
              <a:lstStyle/>
              <a:p>
                <a:pPr>
                  <a:defRPr sz="1000" b="0" u="none" strike="noStrike">
                    <a:solidFill>
                      <a:srgbClr val="000000"/>
                    </a:solidFill>
                    <a:uFillTx/>
                    <a:latin typeface="Segoe UI"/>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Data!$D$2:$D$13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Data!$G$2:$G$13</c:f>
              <c:numCache>
                <c:formatCode>\$#,##0</c:formatCode>
                <c:ptCount val="12"/>
                <c:pt idx="0">
                  <c:v>0</c:v>
                </c:pt>
                <c:pt idx="1">
                  <c:v>0</c:v>
                </c:pt>
                <c:pt idx="2">
                  <c:v>0</c:v>
                </c:pt>
                <c:pt idx="3">
                  <c:v>20</c:v>
                </c:pt>
                <c:pt idx="4">
                  <c:v>0</c:v>
                </c:pt>
                <c:pt idx="5">
                  <c:v>100</c:v>
                </c:pt>
                <c:pt idx="6">
                  <c:v>0</c:v>
                </c:pt>
                <c:pt idx="7">
                  <c:v>0</c:v>
                </c:pt>
                <c:pt idx="8">
                  <c:v>0</c:v>
                </c:pt>
                <c:pt idx="9">
                  <c:v>0</c:v>
                </c:pt>
                <c:pt idx="10">
                  <c:v>0</c:v>
                </c:pt>
                <c:pt idx="11">
                  <c:v>0</c:v>
                </c:pt>
              </c:numCache>
            </c:numRef>
          </c:val>
        </c:ser>
        <c:gapWidth val="150"/>
        <c:overlap val="100"/>
        <c:axId val="51846181"/>
        <c:axId val="25166422"/>
      </c:barChart>
      <c:lineChart>
        <c:grouping val="stacked"/>
        <c:varyColors val="0"/>
        <c:ser>
          <c:idx val="3"/>
          <c:order val="3"/>
          <c:tx>
            <c:strRef>
              <c:f>"Amount Spent"</c:f>
              <c:strCache>
                <c:ptCount val="1"/>
                <c:pt idx="0">
                  <c:v>Amount Spent</c:v>
                </c:pt>
              </c:strCache>
            </c:strRef>
          </c:tx>
          <c:spPr>
            <a:solidFill>
              <a:srgbClr val="008889"/>
            </a:solidFill>
            <a:ln cap="rnd" w="28440">
              <a:solidFill>
                <a:schemeClr val="accent3">
                  <a:lumMod val="90000"/>
                  <a:lumOff val="10000"/>
                </a:schemeClr>
              </a:solidFill>
              <a:round/>
            </a:ln>
          </c:spPr>
          <c:marker>
            <c:symbol val="circle"/>
            <c:size val="5"/>
            <c:spPr>
              <a:solidFill>
                <a:srgbClr val="008889"/>
              </a:solidFill>
            </c:spPr>
          </c:marker>
          <c:dLbls>
            <c:txPr>
              <a:bodyPr wrap="square"/>
              <a:lstStyle/>
              <a:p>
                <a:pPr>
                  <a:defRPr sz="1000" b="0" u="none" strike="noStrike">
                    <a:solidFill>
                      <a:srgbClr val="000000"/>
                    </a:solidFill>
                    <a:uFillTx/>
                    <a:latin typeface="Segoe U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cat>
            <c:strRef>
              <c:f>Data!$D$2:$D$13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Data!$H$2:$H$13</c:f>
              <c:numCache>
                <c:formatCode>\$#,##0</c:formatCode>
                <c:ptCount val="12"/>
                <c:pt idx="0">
                  <c:v>30</c:v>
                </c:pt>
                <c:pt idx="1">
                  <c:v>0</c:v>
                </c:pt>
                <c:pt idx="2">
                  <c:v>0</c:v>
                </c:pt>
                <c:pt idx="3">
                  <c:v>20</c:v>
                </c:pt>
                <c:pt idx="4">
                  <c:v>0</c:v>
                </c:pt>
                <c:pt idx="5">
                  <c:v>180</c:v>
                </c:pt>
                <c:pt idx="6">
                  <c:v>70</c:v>
                </c:pt>
                <c:pt idx="7">
                  <c:v>0</c:v>
                </c:pt>
                <c:pt idx="8">
                  <c:v>0</c:v>
                </c:pt>
                <c:pt idx="9">
                  <c:v>0</c:v>
                </c:pt>
                <c:pt idx="10">
                  <c:v>0</c:v>
                </c:pt>
                <c:pt idx="11">
                  <c:v>0</c:v>
                </c:pt>
              </c:numCache>
            </c:numRef>
          </c:val>
          <c:smooth val="0"/>
        </c:ser>
        <c:hiLowLines>
          <c:spPr>
            <a:ln w="0">
              <a:noFill/>
            </a:ln>
          </c:spPr>
        </c:hiLowLines>
        <c:marker val="1"/>
        <c:axId val="51846181"/>
        <c:axId val="25166422"/>
      </c:lineChart>
      <c:catAx>
        <c:axId val="51846181"/>
        <c:scaling>
          <c:orientation val="minMax"/>
        </c:scaling>
        <c:delete val="0"/>
        <c:axPos val="b"/>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Segoe UI"/>
              </a:defRPr>
            </a:pPr>
          </a:p>
        </c:txPr>
        <c:crossAx val="25166422"/>
        <c:crosses val="autoZero"/>
        <c:auto val="1"/>
        <c:lblAlgn val="ctr"/>
        <c:lblOffset val="100"/>
        <c:noMultiLvlLbl val="0"/>
      </c:catAx>
      <c:valAx>
        <c:axId val="25166422"/>
        <c:scaling>
          <c:orientation val="minMax"/>
        </c:scaling>
        <c:delete val="0"/>
        <c:axPos val="l"/>
        <c:majorGridlines>
          <c:spPr>
            <a:ln w="9360">
              <a:solidFill>
                <a:schemeClr val="dk1">
                  <a:lumMod val="15000"/>
                  <a:lumOff val="85000"/>
                </a:schemeClr>
              </a:solidFill>
              <a:round/>
            </a:ln>
          </c:spPr>
        </c:majorGridlines>
        <c:numFmt formatCode="\$#,##0"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Segoe UI"/>
              </a:defRPr>
            </a:pPr>
          </a:p>
        </c:txPr>
        <c:crossAx val="51846181"/>
        <c:crosses val="autoZero"/>
        <c:crossBetween val="between"/>
      </c:valAx>
      <c:spPr>
        <a:noFill/>
        <a:ln w="0">
          <a:noFill/>
        </a:ln>
      </c:spPr>
    </c:plotArea>
    <c:legend>
      <c:legendPos val="b"/>
      <c:overlay val="0"/>
      <c:spPr>
        <a:noFill/>
        <a:ln w="0">
          <a:noFill/>
        </a:ln>
      </c:spPr>
      <c:txPr>
        <a:bodyPr/>
        <a:lstStyle/>
        <a:p>
          <a:pPr>
            <a:defRPr sz="900" b="0" u="none" strike="noStrike">
              <a:solidFill>
                <a:schemeClr val="tx1">
                  <a:lumMod val="65000"/>
                  <a:lumOff val="35000"/>
                </a:schemeClr>
              </a:solidFill>
              <a:uFillTx/>
              <a:latin typeface="Segoe UI"/>
            </a:defRPr>
          </a:pPr>
        </a:p>
      </c:txPr>
    </c:legend>
    <c:plotVisOnly val="1"/>
    <c:dispBlanksAs val="gap"/>
  </c:chart>
  <c:spPr>
    <a:solidFill>
      <a:srgbClr val="FFFFFF"/>
    </a:solidFill>
    <a:ln w="9360">
      <a:noFill/>
    </a:ln>
  </c:spPr>
</c:chartSpace>
</file>

<file path=xl/charts/colors1.xml><?xml version="1.0" encoding="utf-8"?>
<cs:colorStyle xmlns:cs="http://schemas.microsoft.com/office/drawing/2012/chartStyle" xmlns:a="http://schemas.openxmlformats.org/drawingml/2006/main" meth="cycle" id="13">
  <a:schemeClr val="accent6"/>
  <a:schemeClr val="accent5"/>
  <a:schemeClr val="accent4"/>
</cs:colorStyle>
</file>

<file path=xl/charts/style1.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microsoft.com/office/2007/relationships/hdphoto" Target="../media/hdphoto1.wdp"/>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203040</xdr:colOff>
      <xdr:row>2</xdr:row>
      <xdr:rowOff>254160</xdr:rowOff>
    </xdr:from>
    <xdr:to>
      <xdr:col>16</xdr:col>
      <xdr:colOff>1929960</xdr:colOff>
      <xdr:row>3</xdr:row>
      <xdr:rowOff>3543120</xdr:rowOff>
    </xdr:to>
    <xdr:graphicFrame>
      <xdr:nvGraphicFramePr>
        <xdr:cNvPr id="1" name="Chart 4"/>
        <xdr:cNvGraphicFramePr/>
      </xdr:nvGraphicFramePr>
      <xdr:xfrm>
        <a:off x="4112280" y="1006560"/>
        <a:ext cx="14467320" cy="39175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11880</xdr:colOff>
      <xdr:row>5</xdr:row>
      <xdr:rowOff>360720</xdr:rowOff>
    </xdr:from>
    <xdr:to>
      <xdr:col>3</xdr:col>
      <xdr:colOff>963720</xdr:colOff>
      <xdr:row>11</xdr:row>
      <xdr:rowOff>5760</xdr:rowOff>
    </xdr:to>
    <xdr:pic>
      <xdr:nvPicPr>
        <xdr:cNvPr id="2" name="Picture 10" descr="Three wrapped gifts"/>
        <xdr:cNvPicPr/>
      </xdr:nvPicPr>
      <xdr:blipFill>
        <a:blip r:embed="rId2">
          <a:alphaModFix amt="70000"/>
          <a:extLst>
            <a:ext uri="{BEBA8EAE-BF5A-486C-A8C5-ECC9F3942E4B}">
              <a14:imgProps xmlns:a14="http://schemas.microsoft.com/office/drawing/2010/main">
                <a14:imgLayer r:embed="rId3">
                  <a14:imgEffect>
                    <a14:brightnessContrast colorTemp="5513" contrast="40000" sat="0"/>
                  </a14:imgEffect>
                </a14:imgLayer>
              </a14:imgProps>
            </a:ext>
          </a:extLst>
        </a:blip>
        <a:stretch/>
      </xdr:blipFill>
      <xdr:spPr>
        <a:xfrm>
          <a:off x="156600" y="5970960"/>
          <a:ext cx="3268440" cy="2178720"/>
        </a:xfrm>
        <a:prstGeom prst="rect">
          <a:avLst/>
        </a:prstGeom>
        <a:noFill/>
        <a:ln w="0">
          <a:noFill/>
        </a:ln>
      </xdr:spPr>
    </xdr:pic>
    <xdr:clientData/>
  </xdr:twoCellAnchor>
</xdr:wsDr>
</file>

<file path=xl/tables/table1.xml><?xml version="1.0" encoding="utf-8"?>
<table xmlns="http://schemas.openxmlformats.org/spreadsheetml/2006/main" id="1" name="BudgetTracker" displayName="BudgetTracker" ref="F6:Q11" headerRowCount="1" totalsRowCount="0" totalsRowShown="0">
  <tableColumns count="12">
    <tableColumn id="1" name="Who"/>
    <tableColumn id="2" name="Occasion"/>
    <tableColumn id="3" name="Month"/>
    <tableColumn id="4" name="Amount&#10;budgeted"/>
    <tableColumn id="5" name="Amount&#10;spent"/>
    <tableColumn id="6" name="Gift"/>
    <tableColumn id="7" name="Link to gift"/>
    <tableColumn id="8" name="In store/&#10;Online"/>
    <tableColumn id="9" name="Purchased?"/>
    <tableColumn id="10" name="Wrapped?"/>
    <tableColumn id="11" name="Delivered?"/>
    <tableColumn id="12" name="Notes" totalsRowFunction="count"/>
  </tableColumns>
</table>
</file>

<file path=xl/theme/theme1.xml><?xml version="1.0" encoding="utf-8"?>
<a:theme xmlns:a="http://schemas.openxmlformats.org/drawingml/2006/main" xmlns:r="http://schemas.openxmlformats.org/officeDocument/2006/relationships" name="Office Theme">
  <a:themeElements>
    <a:clrScheme name="Gift Budget &amp; Tracker">
      <a:dk1>
        <a:srgbClr val="000000"/>
      </a:dk1>
      <a:lt1>
        <a:srgbClr val="FFFFFF"/>
      </a:lt1>
      <a:dk2>
        <a:srgbClr val="44546A"/>
      </a:dk2>
      <a:lt2>
        <a:srgbClr val="E7E6E6"/>
      </a:lt2>
      <a:accent1>
        <a:srgbClr val="5D3754"/>
      </a:accent1>
      <a:accent2>
        <a:srgbClr val="DAB6BA"/>
      </a:accent2>
      <a:accent3>
        <a:srgbClr val="005F60"/>
      </a:accent3>
      <a:accent4>
        <a:srgbClr val="C0ADBF"/>
      </a:accent4>
      <a:accent5>
        <a:srgbClr val="7A6369"/>
      </a:accent5>
      <a:accent6>
        <a:srgbClr val="3D2B2D"/>
      </a:accent6>
      <a:hlink>
        <a:srgbClr val="0563C1"/>
      </a:hlink>
      <a:folHlink>
        <a:srgbClr val="954F72"/>
      </a:folHlink>
    </a:clrScheme>
    <a:fontScheme name="Custom 2">
      <a:majorFont>
        <a:latin typeface="Century Gothic" pitchFamily="0" charset="1"/>
        <a:ea typeface=""/>
        <a:cs typeface=""/>
      </a:majorFont>
      <a:minorFont>
        <a:latin typeface="Segoe UI"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1C2A"/>
    <pageSetUpPr fitToPage="false"/>
  </sheetPr>
  <dimension ref="A1:B8"/>
  <sheetViews>
    <sheetView showFormulas="false" showGridLines="false" showRowColHeaders="true" showZeros="true" rightToLeft="false" tabSelected="true" showOutlineSymbols="true" defaultGridColor="true" view="normal" topLeftCell="A1" colorId="64" zoomScale="75" zoomScaleNormal="75" zoomScalePageLayoutView="100" workbookViewId="0">
      <selection pane="topLeft" activeCell="A1" activeCellId="0" sqref="A1"/>
    </sheetView>
  </sheetViews>
  <sheetFormatPr defaultColWidth="9.00390625" defaultRowHeight="14.25" customHeight="false" zeroHeight="false" outlineLevelRow="0" outlineLevelCol="0"/>
  <cols>
    <col collapsed="false" customWidth="true" hidden="false" outlineLevel="0" max="1" min="1" style="0" width="80.57"/>
    <col collapsed="false" customWidth="true" hidden="false" outlineLevel="0" max="3" min="2" style="0" width="4"/>
    <col collapsed="false" customWidth="true" hidden="false" outlineLevel="0" max="16384" min="16384" style="0" width="11.23"/>
  </cols>
  <sheetData>
    <row r="1" customFormat="false" ht="90" hidden="false" customHeight="true" outlineLevel="0" collapsed="false">
      <c r="A1" s="1" t="s">
        <v>0</v>
      </c>
      <c r="B1" s="1"/>
    </row>
    <row r="2" customFormat="false" ht="39.75" hidden="false" customHeight="true" outlineLevel="0" collapsed="false">
      <c r="A2" s="2" t="s">
        <v>1</v>
      </c>
      <c r="B2" s="3"/>
    </row>
    <row r="3" customFormat="false" ht="39.75" hidden="false" customHeight="true" outlineLevel="0" collapsed="false">
      <c r="A3" s="2" t="s">
        <v>2</v>
      </c>
      <c r="B3" s="3"/>
    </row>
    <row r="4" customFormat="false" ht="39.75" hidden="false" customHeight="true" outlineLevel="0" collapsed="false">
      <c r="A4" s="2" t="s">
        <v>3</v>
      </c>
      <c r="B4" s="3"/>
    </row>
    <row r="5" customFormat="false" ht="39.75" hidden="false" customHeight="true" outlineLevel="0" collapsed="false">
      <c r="A5" s="4" t="s">
        <v>4</v>
      </c>
      <c r="B5" s="3"/>
    </row>
    <row r="6" customFormat="false" ht="39.75" hidden="false" customHeight="true" outlineLevel="0" collapsed="false">
      <c r="A6" s="2" t="s">
        <v>5</v>
      </c>
      <c r="B6" s="3"/>
    </row>
    <row r="7" customFormat="false" ht="39.75" hidden="false" customHeight="true" outlineLevel="0" collapsed="false">
      <c r="A7" s="2" t="s">
        <v>6</v>
      </c>
      <c r="B7" s="3"/>
    </row>
    <row r="8" customFormat="false" ht="39.75" hidden="false" customHeight="true" outlineLevel="0" collapsed="false">
      <c r="A8" s="5"/>
      <c r="B8" s="3"/>
    </row>
  </sheetData>
  <mergeCells count="1">
    <mergeCell ref="A1:B1"/>
  </mergeCell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&amp;L_x005F_x000D_&amp;1#&amp;"Aptos,Regular"&amp;8&amp;K000000 Sensitivity: Internal</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546A"/>
    <pageSetUpPr fitToPage="true"/>
  </sheetPr>
  <dimension ref="A1:Q34"/>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selection pane="topLeft" activeCell="A1" activeCellId="0" sqref="A1"/>
    </sheetView>
  </sheetViews>
  <sheetFormatPr defaultColWidth="9.00390625" defaultRowHeight="24.75" customHeight="true" zeroHeight="false" outlineLevelRow="0" outlineLevelCol="0"/>
  <cols>
    <col collapsed="false" customWidth="true" hidden="false" outlineLevel="0" max="1" min="1" style="6" width="2"/>
    <col collapsed="false" customWidth="true" hidden="false" outlineLevel="0" max="4" min="2" style="0" width="16"/>
    <col collapsed="false" customWidth="true" hidden="false" outlineLevel="0" max="5" min="5" style="0" width="4"/>
    <col collapsed="false" customWidth="true" hidden="false" outlineLevel="0" max="16" min="6" style="0" width="16"/>
    <col collapsed="false" customWidth="true" hidden="false" outlineLevel="0" max="17" min="17" style="0" width="31"/>
    <col collapsed="false" customWidth="true" hidden="false" outlineLevel="0" max="18" min="18" style="0" width="2"/>
    <col collapsed="false" customWidth="true" hidden="false" outlineLevel="0" max="19" min="19" style="0" width="21"/>
  </cols>
  <sheetData>
    <row r="1" customFormat="false" ht="9.75" hidden="false" customHeight="true" outlineLevel="0" collapsed="false">
      <c r="B1" s="7"/>
      <c r="C1" s="7"/>
      <c r="D1" s="7"/>
      <c r="E1" s="7"/>
    </row>
    <row r="2" customFormat="false" ht="49.5" hidden="false" customHeight="true" outlineLevel="0" collapsed="false">
      <c r="A2" s="8"/>
      <c r="B2" s="9" t="s">
        <v>7</v>
      </c>
      <c r="C2" s="9"/>
      <c r="D2" s="9"/>
      <c r="E2" s="10"/>
      <c r="F2" s="11" t="s">
        <v>8</v>
      </c>
      <c r="G2" s="11"/>
      <c r="H2" s="11"/>
      <c r="I2" s="11"/>
      <c r="J2" s="11"/>
      <c r="K2" s="11"/>
      <c r="L2" s="11"/>
      <c r="M2" s="11"/>
      <c r="N2" s="11"/>
      <c r="O2" s="11"/>
      <c r="P2" s="11"/>
      <c r="Q2" s="11"/>
    </row>
    <row r="3" customFormat="false" ht="49.5" hidden="false" customHeight="true" outlineLevel="0" collapsed="false">
      <c r="A3" s="12"/>
      <c r="B3" s="9"/>
      <c r="C3" s="9"/>
      <c r="D3" s="9"/>
      <c r="E3" s="10"/>
      <c r="J3" s="13"/>
      <c r="K3" s="13"/>
      <c r="L3" s="13"/>
      <c r="M3" s="13"/>
      <c r="N3" s="13"/>
    </row>
    <row r="4" customFormat="false" ht="283.5" hidden="false" customHeight="true" outlineLevel="0" collapsed="false">
      <c r="A4" s="12"/>
      <c r="B4" s="14" t="s">
        <v>9</v>
      </c>
      <c r="C4" s="14"/>
      <c r="D4" s="14"/>
      <c r="E4" s="15"/>
      <c r="G4" s="16"/>
      <c r="H4" s="16"/>
    </row>
    <row r="5" customFormat="false" ht="49.5" hidden="false" customHeight="true" outlineLevel="0" collapsed="false">
      <c r="A5" s="12"/>
      <c r="B5" s="17"/>
      <c r="C5" s="17"/>
      <c r="D5" s="17"/>
      <c r="E5" s="17"/>
      <c r="F5" s="11" t="s">
        <v>7</v>
      </c>
      <c r="G5" s="11"/>
      <c r="H5" s="11"/>
      <c r="I5" s="11"/>
      <c r="J5" s="11"/>
      <c r="K5" s="11"/>
      <c r="L5" s="11"/>
      <c r="M5" s="11"/>
      <c r="N5" s="11"/>
      <c r="O5" s="11"/>
      <c r="P5" s="11"/>
      <c r="Q5" s="11"/>
    </row>
    <row r="6" customFormat="false" ht="49.5" hidden="false" customHeight="true" outlineLevel="0" collapsed="false">
      <c r="A6" s="18"/>
      <c r="B6" s="3"/>
      <c r="C6" s="3"/>
      <c r="D6" s="3"/>
      <c r="E6" s="3"/>
      <c r="F6" s="19" t="s">
        <v>10</v>
      </c>
      <c r="G6" s="20" t="s">
        <v>11</v>
      </c>
      <c r="H6" s="21" t="s">
        <v>12</v>
      </c>
      <c r="I6" s="22" t="s">
        <v>13</v>
      </c>
      <c r="J6" s="22" t="s">
        <v>14</v>
      </c>
      <c r="K6" s="21" t="s">
        <v>15</v>
      </c>
      <c r="L6" s="21" t="s">
        <v>16</v>
      </c>
      <c r="M6" s="22" t="s">
        <v>17</v>
      </c>
      <c r="N6" s="21" t="s">
        <v>18</v>
      </c>
      <c r="O6" s="21" t="s">
        <v>19</v>
      </c>
      <c r="P6" s="21" t="s">
        <v>20</v>
      </c>
      <c r="Q6" s="19" t="s">
        <v>21</v>
      </c>
    </row>
    <row r="7" customFormat="false" ht="30" hidden="false" customHeight="true" outlineLevel="0" collapsed="false">
      <c r="A7" s="23"/>
      <c r="B7" s="3"/>
      <c r="C7" s="3"/>
      <c r="D7" s="3"/>
      <c r="E7" s="3"/>
      <c r="F7" s="24" t="s">
        <v>22</v>
      </c>
      <c r="G7" s="25" t="s">
        <v>23</v>
      </c>
      <c r="H7" s="26" t="s">
        <v>24</v>
      </c>
      <c r="I7" s="27" t="n">
        <v>50</v>
      </c>
      <c r="J7" s="27" t="n">
        <v>30</v>
      </c>
      <c r="K7" s="28" t="s">
        <v>25</v>
      </c>
      <c r="L7" s="28" t="s">
        <v>26</v>
      </c>
      <c r="M7" s="28" t="s">
        <v>27</v>
      </c>
      <c r="N7" s="28" t="s">
        <v>28</v>
      </c>
      <c r="O7" s="28" t="s">
        <v>29</v>
      </c>
      <c r="P7" s="28" t="s">
        <v>29</v>
      </c>
      <c r="Q7" s="24" t="s">
        <v>30</v>
      </c>
    </row>
    <row r="8" customFormat="false" ht="30" hidden="false" customHeight="true" outlineLevel="0" collapsed="false">
      <c r="B8" s="3"/>
      <c r="C8" s="3"/>
      <c r="D8" s="3"/>
      <c r="E8" s="3"/>
      <c r="F8" s="24" t="s">
        <v>31</v>
      </c>
      <c r="G8" s="29" t="s">
        <v>32</v>
      </c>
      <c r="H8" s="26" t="s">
        <v>33</v>
      </c>
      <c r="I8" s="27" t="n">
        <v>20</v>
      </c>
      <c r="J8" s="27" t="n">
        <v>20</v>
      </c>
      <c r="K8" s="28" t="s">
        <v>34</v>
      </c>
      <c r="L8" s="28" t="s">
        <v>26</v>
      </c>
      <c r="M8" s="28" t="s">
        <v>35</v>
      </c>
      <c r="N8" s="28" t="s">
        <v>29</v>
      </c>
      <c r="O8" s="28" t="s">
        <v>29</v>
      </c>
      <c r="P8" s="28" t="s">
        <v>29</v>
      </c>
      <c r="Q8" s="24" t="s">
        <v>36</v>
      </c>
    </row>
    <row r="9" customFormat="false" ht="30" hidden="false" customHeight="true" outlineLevel="0" collapsed="false">
      <c r="B9" s="3"/>
      <c r="C9" s="3"/>
      <c r="D9" s="3"/>
      <c r="E9" s="3"/>
      <c r="F9" s="24" t="s">
        <v>37</v>
      </c>
      <c r="G9" s="29" t="s">
        <v>38</v>
      </c>
      <c r="H9" s="26" t="s">
        <v>39</v>
      </c>
      <c r="I9" s="27" t="n">
        <v>50</v>
      </c>
      <c r="J9" s="27" t="n">
        <v>70</v>
      </c>
      <c r="K9" s="28" t="s">
        <v>40</v>
      </c>
      <c r="L9" s="28" t="s">
        <v>26</v>
      </c>
      <c r="M9" s="28" t="s">
        <v>27</v>
      </c>
      <c r="N9" s="28" t="s">
        <v>29</v>
      </c>
      <c r="O9" s="28" t="s">
        <v>29</v>
      </c>
      <c r="P9" s="28" t="s">
        <v>29</v>
      </c>
      <c r="Q9" s="24" t="s">
        <v>41</v>
      </c>
    </row>
    <row r="10" customFormat="false" ht="30" hidden="false" customHeight="true" outlineLevel="0" collapsed="false">
      <c r="B10" s="3"/>
      <c r="C10" s="3"/>
      <c r="D10" s="3"/>
      <c r="E10" s="3"/>
      <c r="F10" s="24" t="s">
        <v>42</v>
      </c>
      <c r="G10" s="29" t="s">
        <v>23</v>
      </c>
      <c r="H10" s="26" t="s">
        <v>43</v>
      </c>
      <c r="I10" s="27" t="n">
        <v>20</v>
      </c>
      <c r="J10" s="27" t="n">
        <v>30</v>
      </c>
      <c r="K10" s="28" t="s">
        <v>44</v>
      </c>
      <c r="L10" s="28" t="s">
        <v>26</v>
      </c>
      <c r="M10" s="28" t="s">
        <v>35</v>
      </c>
      <c r="N10" s="28" t="s">
        <v>28</v>
      </c>
      <c r="O10" s="28" t="s">
        <v>28</v>
      </c>
      <c r="P10" s="28" t="s">
        <v>28</v>
      </c>
      <c r="Q10" s="24"/>
    </row>
    <row r="11" customFormat="false" ht="30" hidden="false" customHeight="true" outlineLevel="0" collapsed="false">
      <c r="B11" s="3"/>
      <c r="C11" s="3"/>
      <c r="D11" s="3"/>
      <c r="E11" s="3"/>
      <c r="F11" s="24" t="s">
        <v>45</v>
      </c>
      <c r="G11" s="29" t="s">
        <v>46</v>
      </c>
      <c r="H11" s="26" t="s">
        <v>24</v>
      </c>
      <c r="I11" s="27" t="n">
        <v>100</v>
      </c>
      <c r="J11" s="27" t="n">
        <v>150</v>
      </c>
      <c r="K11" s="28" t="s">
        <v>47</v>
      </c>
      <c r="L11" s="28" t="s">
        <v>26</v>
      </c>
      <c r="M11" s="28" t="s">
        <v>35</v>
      </c>
      <c r="N11" s="28" t="s">
        <v>28</v>
      </c>
      <c r="O11" s="28" t="s">
        <v>28</v>
      </c>
      <c r="P11" s="28" t="s">
        <v>29</v>
      </c>
      <c r="Q11" s="24"/>
    </row>
    <row r="34" customFormat="false" ht="24.75" hidden="false" customHeight="true" outlineLevel="0" collapsed="false">
      <c r="C34" s="30"/>
    </row>
  </sheetData>
  <mergeCells count="4">
    <mergeCell ref="B2:D3"/>
    <mergeCell ref="F2:Q2"/>
    <mergeCell ref="B4:D4"/>
    <mergeCell ref="F5:Q5"/>
  </mergeCells>
  <conditionalFormatting sqref="G7:G11">
    <cfRule type="cellIs" priority="2" operator="equal" aboveAverage="0" equalAverage="0" bottom="0" percent="0" rank="0" text="" dxfId="7">
      <formula>"Other"</formula>
    </cfRule>
    <cfRule type="cellIs" priority="3" operator="equal" aboveAverage="0" equalAverage="0" bottom="0" percent="0" rank="0" text="" dxfId="8">
      <formula>"Graduations"</formula>
    </cfRule>
    <cfRule type="cellIs" priority="4" operator="equal" aboveAverage="0" equalAverage="0" bottom="0" percent="0" rank="0" text="" dxfId="9">
      <formula>"Baby Showers"</formula>
    </cfRule>
    <cfRule type="cellIs" priority="5" operator="equal" aboveAverage="0" equalAverage="0" bottom="0" percent="0" rank="0" text="" dxfId="10">
      <formula>"Bridal Showers"</formula>
    </cfRule>
    <cfRule type="cellIs" priority="6" operator="equal" aboveAverage="0" equalAverage="0" bottom="0" percent="0" rank="0" text="" dxfId="11">
      <formula>"Weddings"</formula>
    </cfRule>
    <cfRule type="cellIs" priority="7" operator="equal" aboveAverage="0" equalAverage="0" bottom="0" percent="0" rank="0" text="" dxfId="12">
      <formula>"Anniversaries"</formula>
    </cfRule>
    <cfRule type="cellIs" priority="8" operator="equal" aboveAverage="0" equalAverage="0" bottom="0" percent="0" rank="0" text="" dxfId="13">
      <formula>"Holidays"</formula>
    </cfRule>
    <cfRule type="cellIs" priority="9" operator="equal" aboveAverage="0" equalAverage="0" bottom="0" percent="0" rank="0" text="" dxfId="14">
      <formula>"Birthdays"</formula>
    </cfRule>
  </conditionalFormatting>
  <dataValidations count="5">
    <dataValidation allowBlank="true" errorStyle="stop" operator="between" prompt="Gift Budget and Tracker label is in cell at right." showDropDown="false" showErrorMessage="true" showInputMessage="true" sqref="A5" type="none">
      <formula1>0</formula1>
      <formula2>0</formula2>
    </dataValidation>
    <dataValidation allowBlank="true" errorStyle="stop" operator="between" prompt="Create a personal Gift Budget and Tracker in this worksheet. Title of the worksheet is in cell at right and tip in cell F1. Helpful instructions on how to use this worksheet are in cells in this column." showDropDown="false" showErrorMessage="true" showInputMessage="true" sqref="A2" type="none">
      <formula1>0</formula1>
      <formula2>0</formula2>
    </dataValidation>
    <dataValidation allowBlank="true" errorStyle="stop" operator="between" prompt="Enter details in Budget Tracker table starting in cell at right." showDropDown="false" showErrorMessage="true" showInputMessage="true" sqref="A6" type="none">
      <formula1>0</formula1>
      <formula2>0</formula2>
    </dataValidation>
    <dataValidation allowBlank="true" error="Please select a month from the drop-down list" errorStyle="warning" operator="between" showDropDown="false" showErrorMessage="true" showInputMessage="false" sqref="H7:H11" type="list">
      <formula1>Data!$C$2:$C$13</formula1>
      <formula2>0</formula2>
    </dataValidation>
    <dataValidation allowBlank="true" error="Please choose an occasion from the drop-down list" errorStyle="warning" operator="between" showDropDown="false" showErrorMessage="true" showInputMessage="false" sqref="G7:G11" type="list">
      <formula1>Data!$A$2:$A$9</formula1>
      <formula2>0</formula2>
    </dataValidation>
  </dataValidations>
  <printOptions headings="false" gridLines="false" gridLinesSet="true" horizontalCentered="true" verticalCentered="false"/>
  <pageMargins left="0.7" right="0.7" top="0.75" bottom="0.75" header="0.511811023622047" footer="0.3"/>
  <pageSetup paperSize="8" scale="100" fitToWidth="1" fitToHeight="0" pageOrder="downThenOver" orientation="landscape" blackAndWhite="false" draft="false" cellComments="none" horizontalDpi="300" verticalDpi="300" copies="1"/>
  <headerFooter differentFirst="true" differentOddEven="false">
    <oddHeader/>
    <oddFooter>&amp;L_x005F_x000D_&amp;1#&amp;"Aptos,Regular"&amp;8&amp;K000000 Sensitivity: Internal</oddFooter>
    <firstHeader/>
    <firstFooter>&amp;L_x005F_x000D_&amp;1#&amp;"Aptos,Regular"&amp;8&amp;K000000 Sensitivity: Internal</firstFooter>
  </headerFooter>
  <drawing r:id="rId1"/>
  <tableParts>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AB6BA"/>
    <pageSetUpPr fitToPage="false"/>
  </sheetPr>
  <dimension ref="A1:J13"/>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selection pane="topLeft" activeCell="A1" activeCellId="0" sqref="A1"/>
    </sheetView>
  </sheetViews>
  <sheetFormatPr defaultColWidth="9.00390625" defaultRowHeight="14.25" customHeight="false" zeroHeight="false" outlineLevelRow="0" outlineLevelCol="0"/>
  <cols>
    <col collapsed="false" customWidth="true" hidden="false" outlineLevel="0" max="1" min="1" style="0" width="18.57"/>
    <col collapsed="false" customWidth="true" hidden="false" outlineLevel="0" max="3" min="3" style="0" width="17"/>
    <col collapsed="false" customWidth="true" hidden="false" outlineLevel="0" max="4" min="4" style="0" width="11.57"/>
    <col collapsed="false" customWidth="true" hidden="false" outlineLevel="0" max="7" min="5" style="0" width="19.57"/>
    <col collapsed="false" customWidth="true" hidden="false" outlineLevel="0" max="8" min="8" style="0" width="16"/>
    <col collapsed="false" customWidth="true" hidden="false" outlineLevel="0" max="9" min="9" style="0" width="16.57"/>
    <col collapsed="false" customWidth="true" hidden="false" outlineLevel="0" max="10" min="10" style="0" width="17.57"/>
  </cols>
  <sheetData>
    <row r="1" customFormat="false" ht="24.75" hidden="false" customHeight="true" outlineLevel="0" collapsed="false">
      <c r="A1" s="31" t="s">
        <v>48</v>
      </c>
      <c r="C1" s="31" t="s">
        <v>49</v>
      </c>
      <c r="D1" s="31" t="s">
        <v>49</v>
      </c>
      <c r="E1" s="32" t="s">
        <v>50</v>
      </c>
      <c r="F1" s="32" t="s">
        <v>51</v>
      </c>
      <c r="G1" s="32" t="s">
        <v>52</v>
      </c>
      <c r="H1" s="32" t="s">
        <v>53</v>
      </c>
      <c r="I1" s="32"/>
      <c r="J1" s="32"/>
    </row>
    <row r="2" customFormat="false" ht="14.25" hidden="false" customHeight="false" outlineLevel="0" collapsed="false">
      <c r="A2" s="0" t="s">
        <v>23</v>
      </c>
      <c r="C2" s="0" t="s">
        <v>43</v>
      </c>
      <c r="D2" s="0" t="s">
        <v>54</v>
      </c>
      <c r="E2" s="33" t="n">
        <f aca="false">SUMIFS(BudgetTracker[Amount
budgeted],BudgetTracker[Month],"January",BudgetTracker[Occasion],"Birthdays")</f>
        <v>20</v>
      </c>
      <c r="F2" s="33" t="n">
        <f aca="false">SUMIFS(BudgetTracker[Amount
budgeted],BudgetTracker[Month],"January",BudgetTracker[Occasion],"Holidays")</f>
        <v>0</v>
      </c>
      <c r="G2" s="33" t="n">
        <f aca="false">SUMIFS(BudgetTracker[Amount
budgeted],BudgetTracker[Month],"January",BudgetTracker[Occasion],"&lt;&gt;Holidays",BudgetTracker[Occasion],"&lt;&gt;Birthdays")</f>
        <v>0</v>
      </c>
      <c r="H2" s="33" t="n">
        <f aca="false">SUMIFS(BudgetTracker[Amount
spent],BudgetTracker[Month],"January")</f>
        <v>30</v>
      </c>
      <c r="I2" s="33"/>
      <c r="J2" s="33"/>
    </row>
    <row r="3" customFormat="false" ht="14.25" hidden="false" customHeight="false" outlineLevel="0" collapsed="false">
      <c r="A3" s="0" t="s">
        <v>38</v>
      </c>
      <c r="C3" s="0" t="s">
        <v>55</v>
      </c>
      <c r="D3" s="0" t="s">
        <v>56</v>
      </c>
      <c r="E3" s="33" t="n">
        <f aca="false">SUMIFS(BudgetTracker[Amount
budgeted],BudgetTracker[Month],"February",BudgetTracker[Occasion],"Birthdays")</f>
        <v>0</v>
      </c>
      <c r="F3" s="33" t="n">
        <f aca="false">SUMIFS(BudgetTracker[Amount
budgeted],BudgetTracker[Month],"February",BudgetTracker[Occasion],"Holidays")</f>
        <v>0</v>
      </c>
      <c r="G3" s="33" t="n">
        <f aca="false">SUMIFS(BudgetTracker[Amount
budgeted],BudgetTracker[Month],"February",BudgetTracker[Occasion],"&lt;&gt;Holidays",BudgetTracker[Occasion],"&lt;&gt;Birthdays")</f>
        <v>0</v>
      </c>
      <c r="H3" s="33" t="n">
        <f aca="false">SUMIFS(BudgetTracker[Amount
spent],BudgetTracker[Month],"February")</f>
        <v>0</v>
      </c>
      <c r="I3" s="33"/>
      <c r="J3" s="33"/>
    </row>
    <row r="4" customFormat="false" ht="14.25" hidden="false" customHeight="false" outlineLevel="0" collapsed="false">
      <c r="A4" s="0" t="s">
        <v>32</v>
      </c>
      <c r="C4" s="0" t="s">
        <v>57</v>
      </c>
      <c r="D4" s="0" t="s">
        <v>58</v>
      </c>
      <c r="E4" s="33" t="n">
        <f aca="false">SUMIFS(BudgetTracker[Amount
budgeted],BudgetTracker[Month],"March",BudgetTracker[Occasion],"Birthdays")</f>
        <v>0</v>
      </c>
      <c r="F4" s="33" t="n">
        <f aca="false">SUMIFS(BudgetTracker[Amount
budgeted],BudgetTracker[Month],"March",BudgetTracker[Occasion],"Holidays")</f>
        <v>0</v>
      </c>
      <c r="G4" s="33" t="n">
        <f aca="false">SUMIFS(BudgetTracker[Amount
budgeted],BudgetTracker[Month],"March",BudgetTracker[Occasion],"&lt;&gt;Holidays",BudgetTracker[Occasion],"&lt;&gt;Birthdays")</f>
        <v>0</v>
      </c>
      <c r="H4" s="33" t="n">
        <f aca="false">SUMIFS(BudgetTracker[Amount
spent],BudgetTracker[Month],"March")</f>
        <v>0</v>
      </c>
      <c r="I4" s="33"/>
      <c r="J4" s="33"/>
    </row>
    <row r="5" customFormat="false" ht="14.25" hidden="false" customHeight="false" outlineLevel="0" collapsed="false">
      <c r="A5" s="0" t="s">
        <v>46</v>
      </c>
      <c r="C5" s="0" t="s">
        <v>33</v>
      </c>
      <c r="D5" s="0" t="s">
        <v>59</v>
      </c>
      <c r="E5" s="33" t="n">
        <f aca="false">SUMIFS(BudgetTracker[Amount
budgeted],BudgetTracker[Month],"April",BudgetTracker[Occasion],"Birthdays")</f>
        <v>0</v>
      </c>
      <c r="F5" s="33" t="n">
        <f aca="false">SUMIFS(BudgetTracker[Amount
budgeted],BudgetTracker[Month],"April",BudgetTracker[Occasion],"Holidays")</f>
        <v>0</v>
      </c>
      <c r="G5" s="33" t="n">
        <f aca="false">SUMIFS(BudgetTracker[Amount
budgeted],BudgetTracker[Month],"April",BudgetTracker[Occasion],"&lt;&gt;Holidays",BudgetTracker[Occasion],"&lt;&gt;Birthdays")</f>
        <v>20</v>
      </c>
      <c r="H5" s="33" t="n">
        <f aca="false">SUMIFS(BudgetTracker[Amount
spent],BudgetTracker[Month],"April")</f>
        <v>20</v>
      </c>
      <c r="I5" s="33"/>
      <c r="J5" s="33"/>
    </row>
    <row r="6" customFormat="false" ht="14.25" hidden="false" customHeight="false" outlineLevel="0" collapsed="false">
      <c r="A6" s="0" t="s">
        <v>60</v>
      </c>
      <c r="C6" s="0" t="s">
        <v>61</v>
      </c>
      <c r="D6" s="0" t="s">
        <v>61</v>
      </c>
      <c r="E6" s="33" t="n">
        <f aca="false">SUMIFS(BudgetTracker[Amount
budgeted],BudgetTracker[Month],"May",BudgetTracker[Occasion],"Birthdays")</f>
        <v>0</v>
      </c>
      <c r="F6" s="33" t="n">
        <f aca="false">SUMIFS(BudgetTracker[Amount
budgeted],BudgetTracker[Month],"May",BudgetTracker[Occasion],"Holidays")</f>
        <v>0</v>
      </c>
      <c r="G6" s="33" t="n">
        <f aca="false">SUMIFS(BudgetTracker[Amount
budgeted],BudgetTracker[Month],"May",BudgetTracker[Occasion],"&lt;&gt;Holidays",BudgetTracker[Occasion],"&lt;&gt;Birthdays")</f>
        <v>0</v>
      </c>
      <c r="H6" s="33" t="n">
        <f aca="false">SUMIFS(BudgetTracker[Amount
spent],BudgetTracker[Month],"May")</f>
        <v>0</v>
      </c>
      <c r="I6" s="33"/>
      <c r="J6" s="33"/>
    </row>
    <row r="7" customFormat="false" ht="14.25" hidden="false" customHeight="false" outlineLevel="0" collapsed="false">
      <c r="A7" s="0" t="s">
        <v>62</v>
      </c>
      <c r="C7" s="0" t="s">
        <v>24</v>
      </c>
      <c r="D7" s="0" t="s">
        <v>63</v>
      </c>
      <c r="E7" s="33" t="n">
        <f aca="false">SUMIFS(BudgetTracker[Amount
budgeted],BudgetTracker[Month],"June",BudgetTracker[Occasion],"Birthdays")</f>
        <v>50</v>
      </c>
      <c r="F7" s="33" t="n">
        <f aca="false">SUMIFS(BudgetTracker[Amount
budgeted],BudgetTracker[Month],"June",BudgetTracker[Occasion],"Holidays")</f>
        <v>0</v>
      </c>
      <c r="G7" s="33" t="n">
        <f aca="false">SUMIFS(BudgetTracker[Amount
budgeted],BudgetTracker[Month],"June",BudgetTracker[Occasion],"&lt;&gt;Holidays",BudgetTracker[Occasion],"&lt;&gt;Birthdays")</f>
        <v>100</v>
      </c>
      <c r="H7" s="33" t="n">
        <f aca="false">SUMIFS(BudgetTracker[Amount
spent],BudgetTracker[Month],"June")</f>
        <v>180</v>
      </c>
      <c r="I7" s="33"/>
      <c r="J7" s="33"/>
    </row>
    <row r="8" customFormat="false" ht="14.25" hidden="false" customHeight="false" outlineLevel="0" collapsed="false">
      <c r="A8" s="0" t="s">
        <v>64</v>
      </c>
      <c r="C8" s="0" t="s">
        <v>39</v>
      </c>
      <c r="D8" s="0" t="s">
        <v>65</v>
      </c>
      <c r="E8" s="33" t="n">
        <f aca="false">SUMIFS(BudgetTracker[Amount
budgeted],BudgetTracker[Month],"July",BudgetTracker[Occasion],"Birthdays")</f>
        <v>0</v>
      </c>
      <c r="F8" s="33" t="n">
        <f aca="false">SUMIFS(BudgetTracker[Amount
budgeted],BudgetTracker[Month],"July",BudgetTracker[Occasion],"Holidays")</f>
        <v>50</v>
      </c>
      <c r="G8" s="33" t="n">
        <f aca="false">SUMIFS(BudgetTracker[Amount
budgeted],BudgetTracker[Month],"July",BudgetTracker[Occasion],"&lt;&gt;Holidays",BudgetTracker[Occasion],"&lt;&gt;Birthdays")</f>
        <v>0</v>
      </c>
      <c r="H8" s="33" t="n">
        <f aca="false">SUMIFS(BudgetTracker[Amount
spent],BudgetTracker[Month],"July")</f>
        <v>70</v>
      </c>
      <c r="I8" s="33"/>
      <c r="J8" s="33"/>
    </row>
    <row r="9" customFormat="false" ht="14.25" hidden="false" customHeight="false" outlineLevel="0" collapsed="false">
      <c r="A9" s="0" t="s">
        <v>66</v>
      </c>
      <c r="C9" s="0" t="s">
        <v>67</v>
      </c>
      <c r="D9" s="0" t="s">
        <v>68</v>
      </c>
      <c r="E9" s="33" t="n">
        <f aca="false">SUMIFS(BudgetTracker[Amount
budgeted],BudgetTracker[Month],"August",BudgetTracker[Occasion],"Birthdays")</f>
        <v>0</v>
      </c>
      <c r="F9" s="33" t="n">
        <f aca="false">SUMIFS(BudgetTracker[Amount
budgeted],BudgetTracker[Month],"August",BudgetTracker[Occasion],"Holidays")</f>
        <v>0</v>
      </c>
      <c r="G9" s="33" t="n">
        <f aca="false">SUMIFS(BudgetTracker[Amount
budgeted],BudgetTracker[Month],"August",BudgetTracker[Occasion],"&lt;&gt;Holidays",BudgetTracker[Occasion],"&lt;&gt;Birthdays")</f>
        <v>0</v>
      </c>
      <c r="H9" s="33" t="n">
        <f aca="false">SUMIFS(BudgetTracker[Amount
spent],BudgetTracker[Month],"August")</f>
        <v>0</v>
      </c>
      <c r="I9" s="33"/>
      <c r="J9" s="33"/>
    </row>
    <row r="10" customFormat="false" ht="14.25" hidden="false" customHeight="false" outlineLevel="0" collapsed="false">
      <c r="C10" s="0" t="s">
        <v>69</v>
      </c>
      <c r="D10" s="0" t="s">
        <v>70</v>
      </c>
      <c r="E10" s="33" t="n">
        <f aca="false">SUMIFS(BudgetTracker[Amount
budgeted],BudgetTracker[Month],"September",BudgetTracker[Occasion],"Birthdays")</f>
        <v>0</v>
      </c>
      <c r="F10" s="33" t="n">
        <f aca="false">SUMIFS(BudgetTracker[Amount
budgeted],BudgetTracker[Month],"September",BudgetTracker[Occasion],"Holidays")</f>
        <v>0</v>
      </c>
      <c r="G10" s="33" t="n">
        <f aca="false">SUMIFS(BudgetTracker[Amount
budgeted],BudgetTracker[Month],"September",BudgetTracker[Occasion],"&lt;&gt;Holidays",BudgetTracker[Occasion],"&lt;&gt;Birthdays")</f>
        <v>0</v>
      </c>
      <c r="H10" s="33" t="n">
        <f aca="false">SUMIFS(BudgetTracker[Amount
spent],BudgetTracker[Month],"September")</f>
        <v>0</v>
      </c>
      <c r="I10" s="33"/>
      <c r="J10" s="33"/>
    </row>
    <row r="11" customFormat="false" ht="14.25" hidden="false" customHeight="false" outlineLevel="0" collapsed="false">
      <c r="C11" s="0" t="s">
        <v>71</v>
      </c>
      <c r="D11" s="0" t="s">
        <v>72</v>
      </c>
      <c r="E11" s="33" t="n">
        <f aca="false">SUMIFS(BudgetTracker[Amount
budgeted],BudgetTracker[Month],"October",BudgetTracker[Occasion],"Birthdays")</f>
        <v>0</v>
      </c>
      <c r="F11" s="33" t="n">
        <f aca="false">SUMIFS(BudgetTracker[Amount
budgeted],BudgetTracker[Month],"October",BudgetTracker[Occasion],"Holidays")</f>
        <v>0</v>
      </c>
      <c r="G11" s="33" t="n">
        <f aca="false">SUMIFS(BudgetTracker[Amount
budgeted],BudgetTracker[Month],"October",BudgetTracker[Occasion],"&lt;&gt;Holidays",BudgetTracker[Occasion],"&lt;&gt;Birthdays")</f>
        <v>0</v>
      </c>
      <c r="H11" s="33" t="n">
        <f aca="false">SUMIFS(BudgetTracker[Amount
spent],BudgetTracker[Month],"October")</f>
        <v>0</v>
      </c>
      <c r="I11" s="33"/>
      <c r="J11" s="33"/>
    </row>
    <row r="12" customFormat="false" ht="14.25" hidden="false" customHeight="false" outlineLevel="0" collapsed="false">
      <c r="C12" s="0" t="s">
        <v>73</v>
      </c>
      <c r="D12" s="0" t="s">
        <v>74</v>
      </c>
      <c r="E12" s="33" t="n">
        <f aca="false">SUMIFS(BudgetTracker[Amount
budgeted],BudgetTracker[Month],"November",BudgetTracker[Occasion],"Birthdays")</f>
        <v>0</v>
      </c>
      <c r="F12" s="33" t="n">
        <f aca="false">SUMIFS(BudgetTracker[Amount
budgeted],BudgetTracker[Month],"November",BudgetTracker[Occasion],"Holidays")</f>
        <v>0</v>
      </c>
      <c r="G12" s="33" t="n">
        <f aca="false">SUMIFS(BudgetTracker[Amount
budgeted],BudgetTracker[Month],"November",BudgetTracker[Occasion],"&lt;&gt;Holidays",BudgetTracker[Occasion],"&lt;&gt;Birthdays")</f>
        <v>0</v>
      </c>
      <c r="H12" s="33" t="n">
        <f aca="false">SUMIFS(BudgetTracker[Amount
spent],BudgetTracker[Month],"November")</f>
        <v>0</v>
      </c>
      <c r="I12" s="33"/>
      <c r="J12" s="33"/>
    </row>
    <row r="13" customFormat="false" ht="14.25" hidden="false" customHeight="false" outlineLevel="0" collapsed="false">
      <c r="C13" s="0" t="s">
        <v>75</v>
      </c>
      <c r="D13" s="0" t="s">
        <v>76</v>
      </c>
      <c r="E13" s="33" t="n">
        <f aca="false">SUMIFS(BudgetTracker[Amount
budgeted],BudgetTracker[Month],"December",BudgetTracker[Occasion],"Birthdays")</f>
        <v>0</v>
      </c>
      <c r="F13" s="33" t="n">
        <f aca="false">SUMIFS(BudgetTracker[Amount
budgeted],BudgetTracker[Month],"December",BudgetTracker[Occasion],"Holidays")</f>
        <v>0</v>
      </c>
      <c r="G13" s="33" t="n">
        <f aca="false">SUMIFS(BudgetTracker[Amount
budgeted],BudgetTracker[Month],"December",BudgetTracker[Occasion],"&lt;&gt;Holidays",BudgetTracker[Occasion],"&lt;&gt;Birthdays")</f>
        <v>0</v>
      </c>
      <c r="H13" s="33" t="n">
        <f aca="false">SUMIFS(BudgetTracker[Amount
spent],BudgetTracker[Month],"December")</f>
        <v>0</v>
      </c>
      <c r="I13" s="33"/>
      <c r="J13" s="33"/>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&amp;L_x005F_x000D_&amp;1#&amp;"Aptos,Regular"&amp;8&amp;K000000 Sensitivity: Internal</oddFooter>
  </headerFooter>
</worksheet>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TM16400948</Template>
  <TotalTime>1</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2022-12-21T00:08:56Z</dcterms:created>
  <dc:creator/>
  <dc:description/>
  <dc:language>en-US</dc:language>
  <cp:lastModifiedBy/>
  <cp:lastPrinted>2026-08-11T17:10:47Z</cp:lastPrinted>
  <dcterms:modified xsi:type="dcterms:W3CDTF">2026-08-11T17:11:44Z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575afd7-7428-4d0b-a18c-f972d457efaf_ActionId">
    <vt:lpwstr>5bc29e05-b611-4e9c-ac70-5e776b530ec4</vt:lpwstr>
  </property>
  <property fmtid="{D5CDD505-2E9C-101B-9397-08002B2CF9AE}" pid="3" name="MSIP_Label_e575afd7-7428-4d0b-a18c-f972d457efaf_ContentBits">
    <vt:lpwstr>2</vt:lpwstr>
  </property>
  <property fmtid="{D5CDD505-2E9C-101B-9397-08002B2CF9AE}" pid="4" name="MSIP_Label_e575afd7-7428-4d0b-a18c-f972d457efaf_Enabled">
    <vt:lpwstr>true</vt:lpwstr>
  </property>
  <property fmtid="{D5CDD505-2E9C-101B-9397-08002B2CF9AE}" pid="5" name="MSIP_Label_e575afd7-7428-4d0b-a18c-f972d457efaf_Method">
    <vt:lpwstr>Standard</vt:lpwstr>
  </property>
  <property fmtid="{D5CDD505-2E9C-101B-9397-08002B2CF9AE}" pid="6" name="MSIP_Label_e575afd7-7428-4d0b-a18c-f972d457efaf_Name">
    <vt:lpwstr>e575afd7-7428-4d0b-a18c-f972d457efaf</vt:lpwstr>
  </property>
  <property fmtid="{D5CDD505-2E9C-101B-9397-08002B2CF9AE}" pid="7" name="MSIP_Label_e575afd7-7428-4d0b-a18c-f972d457efaf_SetDate">
    <vt:lpwstr>2026-08-11T04:42:50Z</vt:lpwstr>
  </property>
  <property fmtid="{D5CDD505-2E9C-101B-9397-08002B2CF9AE}" pid="8" name="MSIP_Label_e575afd7-7428-4d0b-a18c-f972d457efaf_SiteId">
    <vt:lpwstr>306bb27f-a230-403b-a436-2e5cd45b8ec0</vt:lpwstr>
  </property>
  <property fmtid="{D5CDD505-2E9C-101B-9397-08002B2CF9AE}" pid="9" name="MSIP_Label_e575afd7-7428-4d0b-a18c-f972d457efaf_Tag">
    <vt:lpwstr>10, 3, 0, 1</vt:lpwstr>
  </property>
</Properties>
</file>